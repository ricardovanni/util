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oliveira\Documents\"/>
    </mc:Choice>
  </mc:AlternateContent>
  <bookViews>
    <workbookView xWindow="0" yWindow="0" windowWidth="21600" windowHeight="9630"/>
  </bookViews>
  <sheets>
    <sheet name="PCPF" sheetId="4" r:id="rId1"/>
    <sheet name="Habilitar Macros" sheetId="6" state="veryHidden" r:id="rId2"/>
    <sheet name="Tecnologias" sheetId="5" state="veryHidden" r:id="rId3"/>
  </sheets>
  <functionGroups builtInGroupCount="18"/>
  <externalReferences>
    <externalReference r:id="rId4"/>
  </externalReferences>
  <definedNames>
    <definedName name="_xlnm.Print_Area" localSheetId="0">PCPF!$A$1:$W$85</definedName>
    <definedName name="Dados" localSheetId="1">[1]Tecnologias!$B$3:$B$11</definedName>
    <definedName name="Dados">Tecnologias!$B$2:$B$11</definedName>
    <definedName name="FimÁreaContagem">PCPF!$V$83</definedName>
    <definedName name="Fórmulas">PCPF!$A$84:$W$84</definedName>
    <definedName name="FuncoesTodas">Tecnologias!$D$7:$D$12</definedName>
    <definedName name="FuncoesTransacao">Tecnologias!$D$2:$D$5</definedName>
    <definedName name="StatusFuncional">Tecnologias!$F$2:$F$6</definedName>
    <definedName name="StatusTodos">Tecnologias!$F$8:$F$15</definedName>
    <definedName name="_xlnm.Print_Titles" localSheetId="0">PCPF!$1:$5</definedName>
    <definedName name="Transação">Tecnologias!$B$12:$B$33</definedName>
    <definedName name="Vazio" localSheetId="1">[1]Tecnologias!$B$2</definedName>
    <definedName name="Vazio">Tecnologias!$B$34</definedName>
  </definedNames>
  <calcPr calcId="162913" calcCompleted="0"/>
</workbook>
</file>

<file path=xl/calcChain.xml><?xml version="1.0" encoding="utf-8"?>
<calcChain xmlns="http://schemas.openxmlformats.org/spreadsheetml/2006/main">
  <c r="F73" i="4" l="1"/>
  <c r="G73" i="4" s="1"/>
  <c r="F9" i="4"/>
  <c r="G9" i="4" s="1"/>
  <c r="F81" i="4"/>
  <c r="G81" i="4" s="1"/>
  <c r="F76" i="4"/>
  <c r="G76" i="4" s="1"/>
  <c r="F72" i="4"/>
  <c r="G72" i="4" s="1"/>
  <c r="F8" i="4"/>
  <c r="G8" i="4" s="1"/>
  <c r="F10" i="4"/>
  <c r="G10" i="4" s="1"/>
  <c r="F80" i="4"/>
  <c r="G80" i="4" s="1"/>
  <c r="F78" i="4"/>
  <c r="G78" i="4" s="1"/>
  <c r="F79" i="4"/>
  <c r="G79" i="4" s="1"/>
  <c r="F82" i="4"/>
  <c r="G82" i="4" s="1"/>
  <c r="M81" i="4" l="1"/>
  <c r="N81" i="4" s="1"/>
  <c r="R78" i="4"/>
  <c r="S78" i="4" s="1"/>
  <c r="M73" i="4" l="1"/>
  <c r="N73" i="4" s="1"/>
  <c r="R73" i="4"/>
  <c r="S73" i="4" s="1"/>
  <c r="M9" i="4"/>
  <c r="N9" i="4" s="1"/>
  <c r="R9" i="4"/>
  <c r="S9" i="4" s="1"/>
  <c r="R81" i="4"/>
  <c r="S81" i="4" s="1"/>
  <c r="M76" i="4"/>
  <c r="N76" i="4" s="1"/>
  <c r="R76" i="4"/>
  <c r="S76" i="4" s="1"/>
  <c r="R72" i="4"/>
  <c r="S72" i="4" s="1"/>
  <c r="M72" i="4"/>
  <c r="N72" i="4" s="1"/>
  <c r="M8" i="4"/>
  <c r="N8" i="4" s="1"/>
  <c r="R8" i="4"/>
  <c r="S8" i="4" s="1"/>
  <c r="M10" i="4"/>
  <c r="N10" i="4" s="1"/>
  <c r="R10" i="4"/>
  <c r="S10" i="4" s="1"/>
  <c r="M80" i="4"/>
  <c r="N80" i="4" s="1"/>
  <c r="R80" i="4"/>
  <c r="S80" i="4" s="1"/>
  <c r="M78" i="4"/>
  <c r="N78" i="4" s="1"/>
  <c r="R79" i="4"/>
  <c r="S79" i="4" s="1"/>
  <c r="M79" i="4"/>
  <c r="N79" i="4" s="1"/>
  <c r="M82" i="4"/>
  <c r="N82" i="4" s="1"/>
  <c r="R82" i="4"/>
  <c r="S82" i="4" s="1"/>
  <c r="T73" i="4" l="1"/>
  <c r="T9" i="4"/>
  <c r="T81" i="4"/>
  <c r="T76" i="4"/>
  <c r="T72" i="4"/>
  <c r="U72" i="4" s="1"/>
  <c r="T8" i="4"/>
  <c r="T10" i="4"/>
  <c r="T80" i="4"/>
  <c r="T78" i="4"/>
  <c r="T79" i="4"/>
  <c r="T82" i="4"/>
  <c r="U73" i="4" l="1"/>
  <c r="V73" i="4" s="1"/>
  <c r="U9" i="4"/>
  <c r="V9" i="4" s="1"/>
  <c r="U81" i="4"/>
  <c r="V81" i="4" s="1"/>
  <c r="U76" i="4"/>
  <c r="V76" i="4" s="1"/>
  <c r="V72" i="4"/>
  <c r="U8" i="4"/>
  <c r="V8" i="4" s="1"/>
  <c r="U10" i="4"/>
  <c r="V10" i="4" s="1"/>
  <c r="U80" i="4"/>
  <c r="V80" i="4" s="1"/>
  <c r="U78" i="4"/>
  <c r="V78" i="4" s="1"/>
  <c r="U79" i="4"/>
  <c r="V79" i="4" s="1"/>
  <c r="U82" i="4"/>
  <c r="V82" i="4" s="1"/>
  <c r="F77" i="4" l="1"/>
  <c r="G77" i="4" s="1"/>
  <c r="F71" i="4" l="1"/>
  <c r="G71" i="4" s="1"/>
  <c r="F70" i="4"/>
  <c r="G70" i="4" s="1"/>
  <c r="R77" i="4" l="1"/>
  <c r="S77" i="4" s="1"/>
  <c r="M77" i="4"/>
  <c r="N77" i="4" s="1"/>
  <c r="F74" i="4"/>
  <c r="G74" i="4" s="1"/>
  <c r="F75" i="4"/>
  <c r="G75" i="4" s="1"/>
  <c r="F65" i="4"/>
  <c r="G65" i="4" s="1"/>
  <c r="F66" i="4"/>
  <c r="G66" i="4" s="1"/>
  <c r="F67" i="4"/>
  <c r="G67" i="4" s="1"/>
  <c r="F68" i="4"/>
  <c r="G68" i="4" s="1"/>
  <c r="F69" i="4"/>
  <c r="G69" i="4" s="1"/>
  <c r="F56" i="4"/>
  <c r="G56" i="4" s="1"/>
  <c r="F57" i="4"/>
  <c r="G57" i="4" s="1"/>
  <c r="F58" i="4"/>
  <c r="G58" i="4" s="1"/>
  <c r="F59" i="4"/>
  <c r="G59" i="4" s="1"/>
  <c r="F60" i="4"/>
  <c r="G60" i="4" s="1"/>
  <c r="F61" i="4"/>
  <c r="G61" i="4" s="1"/>
  <c r="F62" i="4"/>
  <c r="G62" i="4" s="1"/>
  <c r="F63" i="4"/>
  <c r="G63" i="4" s="1"/>
  <c r="F64" i="4"/>
  <c r="G64" i="4" s="1"/>
  <c r="F55" i="4"/>
  <c r="G55" i="4" s="1"/>
  <c r="F37" i="4"/>
  <c r="G37" i="4" s="1"/>
  <c r="F34" i="4"/>
  <c r="G34" i="4" s="1"/>
  <c r="F33" i="4"/>
  <c r="G33" i="4" s="1"/>
  <c r="F29" i="4"/>
  <c r="G29" i="4" s="1"/>
  <c r="F25" i="4"/>
  <c r="G25" i="4" s="1"/>
  <c r="F31" i="4"/>
  <c r="G31" i="4" s="1"/>
  <c r="F32" i="4"/>
  <c r="G32" i="4" s="1"/>
  <c r="F35" i="4"/>
  <c r="G35" i="4" s="1"/>
  <c r="F36" i="4"/>
  <c r="G36" i="4" s="1"/>
  <c r="F38" i="4"/>
  <c r="G38" i="4" s="1"/>
  <c r="F39" i="4"/>
  <c r="G39" i="4" s="1"/>
  <c r="F40" i="4"/>
  <c r="G40" i="4" s="1"/>
  <c r="F24" i="4"/>
  <c r="G24" i="4" s="1"/>
  <c r="F26" i="4"/>
  <c r="G26" i="4" s="1"/>
  <c r="F27" i="4"/>
  <c r="G27" i="4" s="1"/>
  <c r="F28" i="4"/>
  <c r="G28" i="4" s="1"/>
  <c r="F30" i="4"/>
  <c r="G30" i="4" s="1"/>
  <c r="F41" i="4"/>
  <c r="G41" i="4" s="1"/>
  <c r="F42" i="4"/>
  <c r="G42" i="4" s="1"/>
  <c r="F43" i="4"/>
  <c r="G43" i="4" s="1"/>
  <c r="F44" i="4"/>
  <c r="G44" i="4" s="1"/>
  <c r="F45" i="4"/>
  <c r="G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G51" i="4" s="1"/>
  <c r="F52" i="4"/>
  <c r="G52" i="4" s="1"/>
  <c r="F53" i="4"/>
  <c r="G53" i="4" s="1"/>
  <c r="F54" i="4"/>
  <c r="G54" i="4" s="1"/>
  <c r="T77" i="4" l="1"/>
  <c r="U77" i="4" s="1"/>
  <c r="V77" i="4" s="1"/>
  <c r="M71" i="4"/>
  <c r="N71" i="4" s="1"/>
  <c r="R71" i="4"/>
  <c r="S71" i="4" s="1"/>
  <c r="M70" i="4"/>
  <c r="N70" i="4" s="1"/>
  <c r="R70" i="4"/>
  <c r="S70" i="4" s="1"/>
  <c r="M65" i="4"/>
  <c r="N65" i="4" s="1"/>
  <c r="M66" i="4"/>
  <c r="N66" i="4" s="1"/>
  <c r="M67" i="4"/>
  <c r="N67" i="4" s="1"/>
  <c r="M68" i="4"/>
  <c r="N68" i="4" s="1"/>
  <c r="M69" i="4"/>
  <c r="N69" i="4" s="1"/>
  <c r="M56" i="4"/>
  <c r="N56" i="4" s="1"/>
  <c r="M57" i="4"/>
  <c r="N57" i="4" s="1"/>
  <c r="M59" i="4"/>
  <c r="N59" i="4" s="1"/>
  <c r="M60" i="4"/>
  <c r="N60" i="4" s="1"/>
  <c r="M61" i="4"/>
  <c r="N61" i="4" s="1"/>
  <c r="M62" i="4"/>
  <c r="N62" i="4" s="1"/>
  <c r="M64" i="4"/>
  <c r="N64" i="4" s="1"/>
  <c r="M31" i="4"/>
  <c r="N31" i="4" s="1"/>
  <c r="M33" i="4"/>
  <c r="N33" i="4" s="1"/>
  <c r="M35" i="4"/>
  <c r="N35" i="4" s="1"/>
  <c r="M38" i="4"/>
  <c r="N38" i="4" s="1"/>
  <c r="M39" i="4"/>
  <c r="N39" i="4" s="1"/>
  <c r="M40" i="4"/>
  <c r="N40" i="4" s="1"/>
  <c r="M25" i="4"/>
  <c r="N25" i="4" s="1"/>
  <c r="M28" i="4"/>
  <c r="N28" i="4" s="1"/>
  <c r="M29" i="4"/>
  <c r="N29" i="4" s="1"/>
  <c r="M41" i="4"/>
  <c r="N41" i="4" s="1"/>
  <c r="M42" i="4"/>
  <c r="N42" i="4" s="1"/>
  <c r="M43" i="4"/>
  <c r="N43" i="4" s="1"/>
  <c r="M44" i="4"/>
  <c r="N44" i="4" s="1"/>
  <c r="M45" i="4"/>
  <c r="N45" i="4" s="1"/>
  <c r="M46" i="4"/>
  <c r="N46" i="4" s="1"/>
  <c r="M48" i="4"/>
  <c r="N48" i="4" s="1"/>
  <c r="M49" i="4"/>
  <c r="N49" i="4" s="1"/>
  <c r="M50" i="4"/>
  <c r="N50" i="4" s="1"/>
  <c r="M51" i="4"/>
  <c r="N51" i="4" s="1"/>
  <c r="M53" i="4"/>
  <c r="N53" i="4" s="1"/>
  <c r="T71" i="4" l="1"/>
  <c r="T70" i="4"/>
  <c r="M75" i="4"/>
  <c r="N75" i="4" s="1"/>
  <c r="M74" i="4"/>
  <c r="N74" i="4" s="1"/>
  <c r="R74" i="4"/>
  <c r="S74" i="4" s="1"/>
  <c r="R75" i="4"/>
  <c r="S75" i="4" s="1"/>
  <c r="R65" i="4"/>
  <c r="S65" i="4" s="1"/>
  <c r="R66" i="4"/>
  <c r="S66" i="4" s="1"/>
  <c r="R67" i="4"/>
  <c r="S67" i="4" s="1"/>
  <c r="R68" i="4"/>
  <c r="S68" i="4" s="1"/>
  <c r="R69" i="4"/>
  <c r="S69" i="4" s="1"/>
  <c r="M63" i="4"/>
  <c r="N63" i="4" s="1"/>
  <c r="M55" i="4"/>
  <c r="N55" i="4" s="1"/>
  <c r="M58" i="4"/>
  <c r="N58" i="4" s="1"/>
  <c r="R56" i="4"/>
  <c r="S56" i="4" s="1"/>
  <c r="R57" i="4"/>
  <c r="S57" i="4" s="1"/>
  <c r="R58" i="4"/>
  <c r="S58" i="4" s="1"/>
  <c r="R59" i="4"/>
  <c r="S59" i="4" s="1"/>
  <c r="R60" i="4"/>
  <c r="S60" i="4" s="1"/>
  <c r="R61" i="4"/>
  <c r="S61" i="4" s="1"/>
  <c r="R62" i="4"/>
  <c r="S62" i="4" s="1"/>
  <c r="R63" i="4"/>
  <c r="S63" i="4" s="1"/>
  <c r="R64" i="4"/>
  <c r="S64" i="4" s="1"/>
  <c r="R55" i="4"/>
  <c r="S55" i="4" s="1"/>
  <c r="M52" i="4"/>
  <c r="N52" i="4" s="1"/>
  <c r="M47" i="4"/>
  <c r="N47" i="4" s="1"/>
  <c r="M30" i="4"/>
  <c r="N30" i="4" s="1"/>
  <c r="M24" i="4"/>
  <c r="N24" i="4" s="1"/>
  <c r="M36" i="4"/>
  <c r="N36" i="4" s="1"/>
  <c r="M34" i="4"/>
  <c r="N34" i="4" s="1"/>
  <c r="M32" i="4"/>
  <c r="N32" i="4" s="1"/>
  <c r="M37" i="4"/>
  <c r="N37" i="4" s="1"/>
  <c r="M26" i="4"/>
  <c r="N26" i="4" s="1"/>
  <c r="M27" i="4"/>
  <c r="N27" i="4" s="1"/>
  <c r="R31" i="4"/>
  <c r="S31" i="4" s="1"/>
  <c r="R32" i="4"/>
  <c r="S32" i="4" s="1"/>
  <c r="R33" i="4"/>
  <c r="S33" i="4" s="1"/>
  <c r="R34" i="4"/>
  <c r="S34" i="4" s="1"/>
  <c r="R35" i="4"/>
  <c r="S35" i="4" s="1"/>
  <c r="R36" i="4"/>
  <c r="S36" i="4" s="1"/>
  <c r="R37" i="4"/>
  <c r="S37" i="4" s="1"/>
  <c r="R38" i="4"/>
  <c r="S38" i="4" s="1"/>
  <c r="R39" i="4"/>
  <c r="S39" i="4" s="1"/>
  <c r="R40" i="4"/>
  <c r="S40" i="4" s="1"/>
  <c r="R24" i="4"/>
  <c r="S24" i="4" s="1"/>
  <c r="R25" i="4"/>
  <c r="S25" i="4" s="1"/>
  <c r="R26" i="4"/>
  <c r="S26" i="4" s="1"/>
  <c r="R27" i="4"/>
  <c r="S27" i="4" s="1"/>
  <c r="R28" i="4"/>
  <c r="S28" i="4" s="1"/>
  <c r="R29" i="4"/>
  <c r="S29" i="4" s="1"/>
  <c r="R30" i="4"/>
  <c r="S30" i="4" s="1"/>
  <c r="R41" i="4"/>
  <c r="S41" i="4" s="1"/>
  <c r="R42" i="4"/>
  <c r="S42" i="4" s="1"/>
  <c r="R43" i="4"/>
  <c r="S43" i="4" s="1"/>
  <c r="R44" i="4"/>
  <c r="S44" i="4" s="1"/>
  <c r="R45" i="4"/>
  <c r="S45" i="4" s="1"/>
  <c r="R46" i="4"/>
  <c r="S46" i="4" s="1"/>
  <c r="R47" i="4"/>
  <c r="S47" i="4" s="1"/>
  <c r="R48" i="4"/>
  <c r="S48" i="4" s="1"/>
  <c r="R49" i="4"/>
  <c r="S49" i="4" s="1"/>
  <c r="R50" i="4"/>
  <c r="S50" i="4" s="1"/>
  <c r="R51" i="4"/>
  <c r="S51" i="4" s="1"/>
  <c r="R52" i="4"/>
  <c r="S52" i="4" s="1"/>
  <c r="R53" i="4"/>
  <c r="S53" i="4" s="1"/>
  <c r="R54" i="4"/>
  <c r="S54" i="4" s="1"/>
  <c r="M54" i="4"/>
  <c r="N54" i="4" s="1"/>
  <c r="U71" i="4" l="1"/>
  <c r="V71" i="4" s="1"/>
  <c r="U70" i="4"/>
  <c r="V70" i="4" s="1"/>
  <c r="T74" i="4"/>
  <c r="T75" i="4"/>
  <c r="T65" i="4"/>
  <c r="T66" i="4"/>
  <c r="T67" i="4"/>
  <c r="T68" i="4"/>
  <c r="T69" i="4"/>
  <c r="T56" i="4"/>
  <c r="T57" i="4"/>
  <c r="T58" i="4"/>
  <c r="T59" i="4"/>
  <c r="T60" i="4"/>
  <c r="T61" i="4"/>
  <c r="T62" i="4"/>
  <c r="T63" i="4"/>
  <c r="T64" i="4"/>
  <c r="T55" i="4"/>
  <c r="T31" i="4"/>
  <c r="T32" i="4"/>
  <c r="T33" i="4"/>
  <c r="T34" i="4"/>
  <c r="T35" i="4"/>
  <c r="T36" i="4"/>
  <c r="T37" i="4"/>
  <c r="T38" i="4"/>
  <c r="T39" i="4"/>
  <c r="T40" i="4"/>
  <c r="T24" i="4"/>
  <c r="T25" i="4"/>
  <c r="T26" i="4"/>
  <c r="T27" i="4"/>
  <c r="T28" i="4"/>
  <c r="T29" i="4"/>
  <c r="T3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U74" i="4" l="1"/>
  <c r="V74" i="4" s="1"/>
  <c r="U75" i="4"/>
  <c r="V75" i="4" s="1"/>
  <c r="U65" i="4"/>
  <c r="V65" i="4" s="1"/>
  <c r="U66" i="4"/>
  <c r="V66" i="4" s="1"/>
  <c r="U67" i="4"/>
  <c r="V67" i="4" s="1"/>
  <c r="U68" i="4"/>
  <c r="V68" i="4" s="1"/>
  <c r="U69" i="4"/>
  <c r="V69" i="4" s="1"/>
  <c r="U56" i="4"/>
  <c r="V56" i="4" s="1"/>
  <c r="U57" i="4"/>
  <c r="V57" i="4" s="1"/>
  <c r="U58" i="4"/>
  <c r="V58" i="4" s="1"/>
  <c r="U59" i="4"/>
  <c r="V59" i="4" s="1"/>
  <c r="U60" i="4"/>
  <c r="V60" i="4" s="1"/>
  <c r="U61" i="4"/>
  <c r="V61" i="4" s="1"/>
  <c r="U62" i="4"/>
  <c r="V62" i="4" s="1"/>
  <c r="U63" i="4"/>
  <c r="V63" i="4" s="1"/>
  <c r="U64" i="4"/>
  <c r="V64" i="4" s="1"/>
  <c r="U55" i="4"/>
  <c r="V55" i="4" s="1"/>
  <c r="U31" i="4"/>
  <c r="V31" i="4" s="1"/>
  <c r="U32" i="4"/>
  <c r="V32" i="4" s="1"/>
  <c r="U33" i="4"/>
  <c r="V33" i="4" s="1"/>
  <c r="U34" i="4"/>
  <c r="V34" i="4" s="1"/>
  <c r="U35" i="4"/>
  <c r="V35" i="4" s="1"/>
  <c r="U36" i="4"/>
  <c r="V36" i="4" s="1"/>
  <c r="U37" i="4"/>
  <c r="V37" i="4" s="1"/>
  <c r="U38" i="4"/>
  <c r="V38" i="4" s="1"/>
  <c r="U39" i="4"/>
  <c r="V39" i="4" s="1"/>
  <c r="U40" i="4"/>
  <c r="V40" i="4" s="1"/>
  <c r="U24" i="4"/>
  <c r="V24" i="4" s="1"/>
  <c r="U25" i="4"/>
  <c r="V25" i="4" s="1"/>
  <c r="U26" i="4"/>
  <c r="V26" i="4" s="1"/>
  <c r="U27" i="4"/>
  <c r="V27" i="4" s="1"/>
  <c r="U28" i="4"/>
  <c r="V28" i="4" s="1"/>
  <c r="U29" i="4"/>
  <c r="V29" i="4" s="1"/>
  <c r="U30" i="4"/>
  <c r="V30" i="4" s="1"/>
  <c r="U41" i="4"/>
  <c r="V41" i="4" s="1"/>
  <c r="U42" i="4"/>
  <c r="V42" i="4" s="1"/>
  <c r="U43" i="4"/>
  <c r="V43" i="4" s="1"/>
  <c r="U44" i="4"/>
  <c r="V44" i="4" s="1"/>
  <c r="U45" i="4"/>
  <c r="V45" i="4" s="1"/>
  <c r="U46" i="4"/>
  <c r="V46" i="4" s="1"/>
  <c r="U47" i="4"/>
  <c r="V47" i="4" s="1"/>
  <c r="U48" i="4"/>
  <c r="V48" i="4" s="1"/>
  <c r="U49" i="4"/>
  <c r="V49" i="4" s="1"/>
  <c r="U50" i="4"/>
  <c r="V50" i="4" s="1"/>
  <c r="U51" i="4"/>
  <c r="V51" i="4" s="1"/>
  <c r="U52" i="4"/>
  <c r="V52" i="4" s="1"/>
  <c r="U53" i="4"/>
  <c r="V53" i="4" s="1"/>
  <c r="U54" i="4"/>
  <c r="V54" i="4" s="1"/>
  <c r="F23" i="4" l="1"/>
  <c r="G23" i="4" s="1"/>
  <c r="F6" i="4"/>
  <c r="G6" i="4" s="1"/>
  <c r="F7" i="4"/>
  <c r="G7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 l="1"/>
  <c r="G21" i="4" s="1"/>
  <c r="F22" i="4"/>
  <c r="G22" i="4" s="1"/>
  <c r="M14" i="4" l="1"/>
  <c r="N14" i="4" s="1"/>
  <c r="R12" i="4"/>
  <c r="S12" i="4" s="1"/>
  <c r="R17" i="4"/>
  <c r="S17" i="4" s="1"/>
  <c r="M17" i="4"/>
  <c r="N17" i="4" s="1"/>
  <c r="R19" i="4"/>
  <c r="S19" i="4" s="1"/>
  <c r="R20" i="4"/>
  <c r="S20" i="4" s="1"/>
  <c r="M13" i="4"/>
  <c r="N13" i="4" s="1"/>
  <c r="R11" i="4"/>
  <c r="S11" i="4" s="1"/>
  <c r="M23" i="4"/>
  <c r="N23" i="4" s="1"/>
  <c r="R23" i="4"/>
  <c r="S23" i="4" s="1"/>
  <c r="M6" i="4"/>
  <c r="N6" i="4" s="1"/>
  <c r="R6" i="4"/>
  <c r="S6" i="4" s="1"/>
  <c r="R7" i="4"/>
  <c r="S7" i="4" s="1"/>
  <c r="M7" i="4"/>
  <c r="N7" i="4" s="1"/>
  <c r="M11" i="4"/>
  <c r="N11" i="4" s="1"/>
  <c r="M12" i="4"/>
  <c r="N12" i="4" s="1"/>
  <c r="R13" i="4"/>
  <c r="S13" i="4" s="1"/>
  <c r="R14" i="4"/>
  <c r="S14" i="4" s="1"/>
  <c r="R15" i="4"/>
  <c r="S15" i="4" s="1"/>
  <c r="M15" i="4"/>
  <c r="N15" i="4" s="1"/>
  <c r="R16" i="4"/>
  <c r="S16" i="4" s="1"/>
  <c r="M16" i="4"/>
  <c r="N16" i="4" s="1"/>
  <c r="R18" i="4"/>
  <c r="S18" i="4" s="1"/>
  <c r="M18" i="4"/>
  <c r="N18" i="4" s="1"/>
  <c r="M19" i="4"/>
  <c r="N19" i="4" s="1"/>
  <c r="M20" i="4"/>
  <c r="N20" i="4" s="1"/>
  <c r="F84" i="4"/>
  <c r="T17" i="4" l="1"/>
  <c r="U17" i="4" s="1"/>
  <c r="V17" i="4" s="1"/>
  <c r="M22" i="4"/>
  <c r="N22" i="4" s="1"/>
  <c r="T20" i="4"/>
  <c r="U20" i="4" s="1"/>
  <c r="V20" i="4" s="1"/>
  <c r="R22" i="4"/>
  <c r="S22" i="4" s="1"/>
  <c r="M21" i="4"/>
  <c r="N21" i="4" s="1"/>
  <c r="T23" i="4"/>
  <c r="T6" i="4"/>
  <c r="T7" i="4"/>
  <c r="T11" i="4"/>
  <c r="T12" i="4"/>
  <c r="T13" i="4"/>
  <c r="T14" i="4"/>
  <c r="T15" i="4"/>
  <c r="T16" i="4"/>
  <c r="T18" i="4"/>
  <c r="T19" i="4"/>
  <c r="R21" i="4"/>
  <c r="S21" i="4" s="1"/>
  <c r="G84" i="4"/>
  <c r="T22" i="4" l="1"/>
  <c r="U22" i="4" s="1"/>
  <c r="U23" i="4"/>
  <c r="V23" i="4" s="1"/>
  <c r="U6" i="4"/>
  <c r="V6" i="4" s="1"/>
  <c r="U7" i="4"/>
  <c r="V7" i="4" s="1"/>
  <c r="U11" i="4"/>
  <c r="V11" i="4" s="1"/>
  <c r="U12" i="4"/>
  <c r="V12" i="4" s="1"/>
  <c r="U13" i="4"/>
  <c r="V13" i="4" s="1"/>
  <c r="U14" i="4"/>
  <c r="V14" i="4" s="1"/>
  <c r="U15" i="4"/>
  <c r="V15" i="4" s="1"/>
  <c r="U16" i="4"/>
  <c r="V16" i="4" s="1"/>
  <c r="U18" i="4"/>
  <c r="V18" i="4" s="1"/>
  <c r="U19" i="4"/>
  <c r="V19" i="4" s="1"/>
  <c r="T21" i="4"/>
  <c r="H84" i="4"/>
  <c r="I84" i="4"/>
  <c r="V22" i="4" l="1"/>
  <c r="U21" i="4"/>
  <c r="V21" i="4" s="1"/>
  <c r="M84" i="4"/>
  <c r="N84" i="4" s="1"/>
  <c r="R84" i="4"/>
  <c r="S84" i="4" s="1"/>
  <c r="R85" i="4" l="1"/>
  <c r="W85" i="4"/>
  <c r="T84" i="4"/>
  <c r="U84" i="4" l="1"/>
  <c r="V84" i="4" s="1"/>
</calcChain>
</file>

<file path=xl/comments1.xml><?xml version="1.0" encoding="utf-8"?>
<comments xmlns="http://schemas.openxmlformats.org/spreadsheetml/2006/main">
  <authors>
    <author>M106963</author>
    <author>Jose Albino da Costa Neto (Elumini)</author>
  </authors>
  <commentList>
    <comment ref="M1" authorId="0" shapeId="0">
      <text>
        <r>
          <rPr>
            <sz val="11"/>
            <color indexed="81"/>
            <rFont val="Calibri"/>
            <family val="2"/>
            <scheme val="minor"/>
          </rPr>
          <t>Informe o número da demanda no formato:
AAAA-999999</t>
        </r>
      </text>
    </comment>
    <comment ref="O1" authorId="0" shapeId="0">
      <text>
        <r>
          <rPr>
            <sz val="11"/>
            <color indexed="81"/>
            <rFont val="Calibri"/>
            <family val="2"/>
            <scheme val="minor"/>
          </rPr>
          <t>Informe o código da proposta e a referência ou o título da demanda. Informe o código da demanda no formato: XXX-AAAA-9999-V9.</t>
        </r>
      </text>
    </comment>
    <comment ref="B3" authorId="1" shapeId="0">
      <text>
        <r>
          <rPr>
            <b/>
            <sz val="9"/>
            <color indexed="81"/>
            <rFont val="Tahoma"/>
            <family val="2"/>
          </rPr>
          <t>Informar nesta coluna qual o item da documentação fornece embasamento para contagem de PF</t>
        </r>
      </text>
    </comment>
  </commentList>
</comments>
</file>

<file path=xl/sharedStrings.xml><?xml version="1.0" encoding="utf-8"?>
<sst xmlns="http://schemas.openxmlformats.org/spreadsheetml/2006/main" count="557" uniqueCount="167">
  <si>
    <t>Fator de
Impacto</t>
  </si>
  <si>
    <t>Incluídos</t>
  </si>
  <si>
    <t>Alterados</t>
  </si>
  <si>
    <t>Excluídos</t>
  </si>
  <si>
    <t>Total</t>
  </si>
  <si>
    <t>Grau de
Complexidade</t>
  </si>
  <si>
    <t>Planilha de Contagem de Pontos de Função</t>
  </si>
  <si>
    <t>Versão</t>
  </si>
  <si>
    <t>RLRs
ou ALRs</t>
  </si>
  <si>
    <t>DERs</t>
  </si>
  <si>
    <t>Dados Elementares Referenciados (DERs)</t>
  </si>
  <si>
    <t>% ALRs Mod</t>
  </si>
  <si>
    <t>% DERs Mod</t>
  </si>
  <si>
    <t>Identificador</t>
  </si>
  <si>
    <t>Descrição da Função</t>
  </si>
  <si>
    <t>Tipo de
Função</t>
  </si>
  <si>
    <t>Registros (RLRs) ou Arquivos (ALRs) Lógicos Referenciados</t>
  </si>
  <si>
    <t>Escopo</t>
  </si>
  <si>
    <t>Tamanho
(PF)</t>
  </si>
  <si>
    <t>Tecnologia</t>
  </si>
  <si>
    <t>DB2</t>
  </si>
  <si>
    <t>Lotus Domino</t>
  </si>
  <si>
    <t>MySQL</t>
  </si>
  <si>
    <t>Oracle</t>
  </si>
  <si>
    <t>VSAM</t>
  </si>
  <si>
    <t>SAS</t>
  </si>
  <si>
    <t>ASP</t>
  </si>
  <si>
    <t>Cobol</t>
  </si>
  <si>
    <t>CSP</t>
  </si>
  <si>
    <t>Delphi</t>
  </si>
  <si>
    <t>EDGE</t>
  </si>
  <si>
    <t>Filenet P8</t>
  </si>
  <si>
    <t>Java</t>
  </si>
  <si>
    <t>Lotus Notes</t>
  </si>
  <si>
    <t>MicroStrategy</t>
  </si>
  <si>
    <t>Mobile</t>
  </si>
  <si>
    <t>Natural</t>
  </si>
  <si>
    <t>Objective C</t>
  </si>
  <si>
    <t>PL/SQL</t>
  </si>
  <si>
    <t>PowerCenter</t>
  </si>
  <si>
    <t>VB</t>
  </si>
  <si>
    <t>Tecnologias</t>
  </si>
  <si>
    <t>Dados</t>
  </si>
  <si>
    <t>Sql-Server</t>
  </si>
  <si>
    <t>.Net</t>
  </si>
  <si>
    <t>Transação</t>
  </si>
  <si>
    <t>INTERNA</t>
  </si>
  <si>
    <t>Classificação da  Informação</t>
  </si>
  <si>
    <t>"Este documento foi classificado pelo  Escritório de Métricas, e o acesso está autorizado, exclusivamente, para equipe do Escritório de Métricas da Bradesco Seguros.”</t>
  </si>
  <si>
    <t>Impacto da Proposta nos Atributos das Funções</t>
  </si>
  <si>
    <t>Atributos da Função antes da Proposta</t>
  </si>
  <si>
    <t>Tipo de Função</t>
  </si>
  <si>
    <r>
      <rPr>
        <sz val="11"/>
        <color theme="1" tint="0.34998626667073579"/>
        <rFont val="Calibri"/>
        <family val="2"/>
        <scheme val="minor"/>
      </rPr>
      <t xml:space="preserve">Classificação da Informação
</t>
    </r>
    <r>
      <rPr>
        <sz val="10"/>
        <rFont val="Arial"/>
        <family val="2"/>
      </rPr>
      <t xml:space="preserve">
</t>
    </r>
    <r>
      <rPr>
        <b/>
        <sz val="20"/>
        <color rgb="FFC00000"/>
        <rFont val="Calibri"/>
        <family val="2"/>
        <scheme val="minor"/>
      </rPr>
      <t>INTERNA</t>
    </r>
  </si>
  <si>
    <t>Para funcionar esta planilha necessita executar macros. Abaixo os procedimentos para habilitar a execução das macros.</t>
  </si>
  <si>
    <t>Excel 2003</t>
  </si>
  <si>
    <t>Excel 2007</t>
  </si>
  <si>
    <t>Excel 2010</t>
  </si>
  <si>
    <t>1. Acessar Menu "Ferramentas". 
2. Selecionar opção"Macro". 
3.Ao selecionar a opção "Macro", escolha a opção "Segurança". 
4.Selecione o nível de segurança "Baixo". 
5.Clique em OK.</t>
  </si>
  <si>
    <t>1.Ao abrir este arquivo, será apresentada uma barra com a mensagem: "Aviso de Segurança As macros foram desabilitadas." 
2.Selecione o botão "Opções..." ao lado da mensagem. 
3.Selecione a opção "Habilitar este conteúdo". 
4.Clique em Ok.</t>
  </si>
  <si>
    <t>1.Ao abrir este arquivo, será apresentada uma barra com a mensagem: "Aviso de Segurança As macros foram desabilitadas." 
2.Selecione a opção "Habilitar Conteúdo" ao lado. 
3.Clique em Ok.</t>
  </si>
  <si>
    <t>Somente Teste</t>
  </si>
  <si>
    <t>Referência Documental</t>
  </si>
  <si>
    <t>Conteudo Portal Server</t>
  </si>
  <si>
    <t>Hyperion</t>
  </si>
  <si>
    <t>Python</t>
  </si>
  <si>
    <t>Teste + Plano</t>
  </si>
  <si>
    <t>Status
Requisito</t>
  </si>
  <si>
    <t>EE</t>
  </si>
  <si>
    <t>CE</t>
  </si>
  <si>
    <t>Tamanho PF no escopo</t>
  </si>
  <si>
    <t>-</t>
  </si>
  <si>
    <t>ALI</t>
  </si>
  <si>
    <t>AIE</t>
  </si>
  <si>
    <t>SE</t>
  </si>
  <si>
    <t>Funções Todas</t>
  </si>
  <si>
    <t>Funções Transacao</t>
  </si>
  <si>
    <t>Eliminar</t>
  </si>
  <si>
    <t>Criar</t>
  </si>
  <si>
    <t>Modificar</t>
  </si>
  <si>
    <t>Perfectiva</t>
  </si>
  <si>
    <t>Somente teste</t>
  </si>
  <si>
    <t>Status Funcional</t>
  </si>
  <si>
    <t>Status Todos</t>
  </si>
  <si>
    <t>&lt;Posicione o cursor nesta área para iniciar a inclusão de novas linhas&gt;
Os cabeçalhos e esta linha delimitam a área de contagem. Utilize os seguintes comandos para inserir ou excluir linhas: CTRL+SHIFT+I (Inserir linha acima da célula selecionada)   CTRL+SHIFT+E (Excluir a linha da célula selecionada)</t>
  </si>
  <si>
    <t>Dados de Código</t>
  </si>
  <si>
    <t>Total Tamanho Não Funcional da Proposta (PF técnico)</t>
  </si>
  <si>
    <t>Total Tamanho Funcional da Proposta (PF)</t>
  </si>
  <si>
    <t>1.8a</t>
  </si>
  <si>
    <t>Alternativa de Solução</t>
  </si>
  <si>
    <t>Consultar Saldo - Lista Planos (PPRA8290) - Site Correntista</t>
  </si>
  <si>
    <t>Consultar Saldo - Lista Detalhe Planos (PPRA8290) - Site Correntista</t>
  </si>
  <si>
    <t>Cadastro FAPI - FAPI0810</t>
  </si>
  <si>
    <t>Consulta Extrato 1 - PGBL EMPRESARIAL OU CONTA VOLUNTÁRIA B15 - PPRA8201</t>
  </si>
  <si>
    <t>Consulta Extrato 2 - PGBL PREV JOVEM - PPRA8201</t>
  </si>
  <si>
    <t>Consulta Extrato 3 - PREV FACIL PGBL FIX - PPRA8201</t>
  </si>
  <si>
    <t>Consulta Extrato 4 - CAB EMPRESARIAL - PPRA8370</t>
  </si>
  <si>
    <t>Consulta Extrato 5 - CAB INDIVIDUAL - PPRA8370</t>
  </si>
  <si>
    <t>Consulta Extrato 6 - CONTA VIP - PPRA8203</t>
  </si>
  <si>
    <t>Consulta Extrato 7 - PGBL EMPRESARIAL 4X4 - FUNCIONÁRIO BRADESCO - PPRA8704</t>
  </si>
  <si>
    <t>Consulta Extrato 12 - VGBL 101, 102, 103 E 104 - PPRA8207</t>
  </si>
  <si>
    <t>Consulta Extrato 13 - VGBL PREV JOVEM - PPRA8228</t>
  </si>
  <si>
    <t>Consulta Extrato 14 - VGBL PRIVATE - PPRA8207</t>
  </si>
  <si>
    <t>Consulta Extrato 15 - PRGP - PPRA8229</t>
  </si>
  <si>
    <t>Consulta Extrato 16 - VRGP - PPRA8229</t>
  </si>
  <si>
    <t>Consulta Extrato 17 - VGBL FRAM CAPITAL - PPRA8207</t>
  </si>
  <si>
    <t>Consulta Extrato 18 - VGBL ORIZZONTE - PPRA8207</t>
  </si>
  <si>
    <t>Consulta Extrato 20 - PGBL PRIVATE - PPRA8201</t>
  </si>
  <si>
    <t>Consulta Extrato 21 - BRADESCO PGBL RF PLUS - PPRA8201</t>
  </si>
  <si>
    <t>Consulta Extrato 22 - BRADESCO PGBL RF PREMIUM - PPRA8201</t>
  </si>
  <si>
    <t>Consulta Extrato 23 - VGBL INTERNACIONAL - PPRA8207</t>
  </si>
  <si>
    <t>Consulta Extrato 24 - PGBL ORIZZONTE - PPRA8201</t>
  </si>
  <si>
    <t>Consulta Extrato 25 - BRADESCO PREV CLASSIC 3 EM 1 - PPRA8305</t>
  </si>
  <si>
    <t>Consulta Extrato 33 - PGBL EMPRESARIAL BRADESCO - PPRA8233</t>
  </si>
  <si>
    <t>Consulta Extrato 34 - FUNDO GERADOR DE BENEFÍCIO - PPRA8205</t>
  </si>
  <si>
    <t>Consulta Extrato 56 - RENDA CERTA - PPRA8203</t>
  </si>
  <si>
    <t>Consulta Extrato 57 - PGBL CORPORATE – EMPRESA E PARTICIPANTE - PPRA8206</t>
  </si>
  <si>
    <t>Consulta Extrato 58 - PGBL CORPORATE – SÓ PARTICIPANTE - PPRA8201</t>
  </si>
  <si>
    <t>Consulta Extrato 59 - PGBL PRIVATE - PPRA8201</t>
  </si>
  <si>
    <t>Consulta Extrato 60 - FGB - EMPRESA / FUNCIONARIO - PPRA8205</t>
  </si>
  <si>
    <t>Consulta Extrato 61 - FGB - FUNCIONARIO - PPRA8205</t>
  </si>
  <si>
    <t>Consulta Extrato 62 - BBV HIPERPREV INDIVIDUAL - PPRA8201</t>
  </si>
  <si>
    <t>Consulta Extrato 64 - VGBL EMPRESARIAL (MIDDLE) VGP E VGC - PPRA8207</t>
  </si>
  <si>
    <t>Consulta Extrato 66 - BRADESCO FINASA RF PLUS  - PPRA8201</t>
  </si>
  <si>
    <t>Consulta Extrato 67 - BRADESCO PGBL RF PLUS - PPRA8201</t>
  </si>
  <si>
    <t>Consulta Extrato 68 - BRADESCO PGBL RF PREMIUM - PPRA8201</t>
  </si>
  <si>
    <t>Consulta Extrato 71 - VGBL FUNCIONÁRIOS BRADESCO - PPRA8250</t>
  </si>
  <si>
    <t>Consulta Extrato 73 - PGBL FUNCIONÁRIOS BRADESCO - PPRA8206</t>
  </si>
  <si>
    <t>Consulta Extrato 74 - VGBL CORPORATE VGC - PPRA8250</t>
  </si>
  <si>
    <t>Consulta Extrato 75 - PGBL FRAM CAPITAL - PPRA8315</t>
  </si>
  <si>
    <t>Consulta Extrato 76 - PGBL EMPRESARIAL (MIDDLE) -  AVERBADO - PPRA8288</t>
  </si>
  <si>
    <t>Consulta Extrato 77 - PGBL EMPRESARIAL (MIDDLE) -  INSTITUÍDO - PPRA8260</t>
  </si>
  <si>
    <t>Consulta Extrato 78 - PGBL ORIZZONTE - PPRA8316</t>
  </si>
  <si>
    <t>Consulta Extrato 79 - VGBL CORPORATE EMPRESARIAL INSTITUÍDO - PPRA8294</t>
  </si>
  <si>
    <t>Consulta Extrato 80 - VGBL CORPORATE EMPRESARIAL AVERBADO - PPRA8295</t>
  </si>
  <si>
    <t>Consulta Extrato 81 - PGBL AVERBADO - PPRA8298</t>
  </si>
  <si>
    <t>Consulta Extrato 82 - PGBL CORPORATE INSTITUIDORA       - PPRA8400</t>
  </si>
  <si>
    <t>Consulta Extrato 83 - PGBL CORPORATE AVERBADO            - PPRA8401</t>
  </si>
  <si>
    <t>Consulta Extrato 84 - PGBL MIDDLE INSTITUIDORA           - PPRA8402</t>
  </si>
  <si>
    <t>Consulta Extrato 85 - PGBL MIDDLE AVERBADO              - PPRA8403</t>
  </si>
  <si>
    <t>Consulta Extrato 86 - PGBL INDIVIDUAL                    - PPRA8404</t>
  </si>
  <si>
    <t>Consulta Extrato 87 - VGBL CORPORATE INSTITUIDORA       - PPRA8405</t>
  </si>
  <si>
    <t>Consulta Extrato 88 - VGBL CORPORATE AVERBADO            - PPRA8406</t>
  </si>
  <si>
    <t>Consulta Extrato 89 - VGBL MIDDLE INSTITUIDORA           - PPRA8407</t>
  </si>
  <si>
    <t>Consulta Extrato 90 - VGBL MIDDLE AVERBADO              - PPRA8408</t>
  </si>
  <si>
    <t>Consulta Extrato 91 - VGBL INDIVIDUAL                    - PPRA8409</t>
  </si>
  <si>
    <t>Consulta Extrato 95 - VGBL CORPORATE INSTITUIDO - PPRA8615</t>
  </si>
  <si>
    <t>Consulta Extrato 92 - PGBL VGBL Empresarial Bradesco (5 x 4) - PPRA8190</t>
  </si>
  <si>
    <t>Consulta Extrato 93 - PGBL Empresarial Bradesco (5 x 4) - PPRA8191</t>
  </si>
  <si>
    <t>Consulta Extrato 94 - PGBL Empresarial Bradesco (5 x 4) - PPRA8192</t>
  </si>
  <si>
    <t>Consulta Extrato 98 - PGBL VGBL Empresarial Bradesco (5 x 4) - PPRA8193</t>
  </si>
  <si>
    <t>Consulta Extrato 99 - PGBL VGBL Empresarial Bradesco (5 x 4) - PPRA8194</t>
  </si>
  <si>
    <t>Cadastro FAPI - Validação Telefone - PPRA8164</t>
  </si>
  <si>
    <t xml:space="preserve">Informe de Rendimento (IR) - BPVI7014 </t>
  </si>
  <si>
    <t>Informe de Rendimento (IR) - BPVI7015</t>
  </si>
  <si>
    <t>Internet Banking - Previdência</t>
  </si>
  <si>
    <t>Contratar Prev Jovem PGBL ou VGBL - Gravar na base de dados da Web</t>
  </si>
  <si>
    <t>Contratar SobMedida PGBL ou VGBL - Busca Inteligente</t>
  </si>
  <si>
    <t>Contratar Prev Jovem PGBL ou VGBL - Gerar Boleto</t>
  </si>
  <si>
    <t>Contratar Prev Jovem PGBL ou VGBL - Gerar PDF do protocolo</t>
  </si>
  <si>
    <t>Contratar Prev Jovem PGBL ou VGBL - Enviar e-mail</t>
  </si>
  <si>
    <t>Consultar Saldo - Impressão detalhada</t>
  </si>
  <si>
    <t>Consultar Saldo - Salvar</t>
  </si>
  <si>
    <t>Informe de Rendimento (IR) - Imprimir</t>
  </si>
  <si>
    <t>Informe de Rendimento (IR) - Salvar</t>
  </si>
  <si>
    <t>Contratar Prev Jovem PGBL ou VGBL - Imprimir</t>
  </si>
  <si>
    <t>Consultar Saldo - Imprimir</t>
  </si>
  <si>
    <t>Cadastro FAPI - Imprimir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</si>
</sst>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1"/>
      <color indexed="8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2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Arial"/>
      <family val="2"/>
    </font>
    <font>
      <b/>
      <sz val="14"/>
      <color theme="1" tint="0.34998626667073579"/>
      <name val="Calibri"/>
      <family val="2"/>
    </font>
    <font>
      <b/>
      <sz val="20"/>
      <color theme="1" tint="0.34998626667073579"/>
      <name val="Calibri"/>
      <family val="2"/>
    </font>
    <font>
      <sz val="11"/>
      <color theme="1" tint="0.34998626667073579"/>
      <name val="Calibri"/>
      <family val="2"/>
      <scheme val="minor"/>
    </font>
    <font>
      <b/>
      <sz val="20"/>
      <color rgb="FFC0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2" fillId="0" borderId="0"/>
  </cellStyleXfs>
  <cellXfs count="98">
    <xf numFmtId="0" fontId="0" fillId="0" borderId="0" xfId="0"/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1" fontId="2" fillId="0" borderId="0" xfId="0" applyNumberFormat="1" applyFont="1" applyBorder="1" applyAlignment="1" applyProtection="1">
      <alignment horizontal="center" vertical="center" wrapText="1"/>
      <protection hidden="1"/>
    </xf>
    <xf numFmtId="2" fontId="2" fillId="0" borderId="0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3" borderId="2" xfId="0" applyFont="1" applyFill="1" applyBorder="1" applyAlignment="1" applyProtection="1">
      <alignment horizontal="left" vertical="center"/>
      <protection hidden="1"/>
    </xf>
    <xf numFmtId="0" fontId="3" fillId="3" borderId="1" xfId="0" applyFont="1" applyFill="1" applyBorder="1" applyAlignment="1" applyProtection="1">
      <alignment horizontal="left" vertical="center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7" fillId="0" borderId="2" xfId="0" applyFont="1" applyFill="1" applyBorder="1" applyAlignment="1" applyProtection="1">
      <alignment horizontal="left" vertical="center" wrapText="1"/>
      <protection locked="0"/>
    </xf>
    <xf numFmtId="0" fontId="7" fillId="0" borderId="2" xfId="0" applyNumberFormat="1" applyFont="1" applyBorder="1" applyAlignment="1" applyProtection="1">
      <alignment horizontal="center" vertical="center" wrapText="1"/>
      <protection locked="0" hidden="1"/>
    </xf>
    <xf numFmtId="0" fontId="7" fillId="0" borderId="2" xfId="0" applyFont="1" applyBorder="1" applyAlignment="1" applyProtection="1">
      <alignment horizontal="center" vertical="center" wrapText="1"/>
      <protection locked="0"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1" fontId="7" fillId="0" borderId="2" xfId="0" applyNumberFormat="1" applyFont="1" applyBorder="1" applyAlignment="1" applyProtection="1">
      <alignment horizontal="center" vertical="center" wrapText="1"/>
      <protection hidden="1"/>
    </xf>
    <xf numFmtId="2" fontId="7" fillId="0" borderId="2" xfId="0" applyNumberFormat="1" applyFont="1" applyBorder="1" applyAlignment="1" applyProtection="1">
      <alignment horizontal="center" vertical="center" wrapText="1"/>
      <protection hidden="1"/>
    </xf>
    <xf numFmtId="0" fontId="7" fillId="0" borderId="1" xfId="0" applyFont="1" applyFill="1" applyBorder="1" applyAlignment="1" applyProtection="1">
      <alignment horizontal="center" vertical="center" wrapText="1"/>
      <protection locked="0"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1" fillId="5" borderId="0" xfId="1" applyFill="1"/>
    <xf numFmtId="0" fontId="1" fillId="5" borderId="14" xfId="1" applyFont="1" applyFill="1" applyBorder="1" applyProtection="1"/>
    <xf numFmtId="0" fontId="1" fillId="5" borderId="15" xfId="1" applyFont="1" applyFill="1" applyBorder="1" applyProtection="1"/>
    <xf numFmtId="0" fontId="1" fillId="5" borderId="15" xfId="1" applyFill="1" applyBorder="1" applyProtection="1"/>
    <xf numFmtId="0" fontId="1" fillId="5" borderId="16" xfId="1" applyFill="1" applyBorder="1" applyProtection="1"/>
    <xf numFmtId="0" fontId="1" fillId="0" borderId="0" xfId="1"/>
    <xf numFmtId="0" fontId="1" fillId="5" borderId="17" xfId="1" applyFill="1" applyBorder="1" applyProtection="1"/>
    <xf numFmtId="0" fontId="14" fillId="4" borderId="0" xfId="1" applyFont="1" applyFill="1" applyBorder="1" applyAlignment="1" applyProtection="1">
      <alignment vertical="center" wrapText="1"/>
    </xf>
    <xf numFmtId="0" fontId="1" fillId="5" borderId="18" xfId="1" applyFill="1" applyBorder="1" applyProtection="1"/>
    <xf numFmtId="0" fontId="14" fillId="5" borderId="0" xfId="1" applyFont="1" applyFill="1" applyBorder="1" applyAlignment="1" applyProtection="1">
      <alignment horizontal="right" vertical="center" wrapText="1"/>
    </xf>
    <xf numFmtId="0" fontId="18" fillId="5" borderId="0" xfId="1" applyFont="1" applyFill="1"/>
    <xf numFmtId="0" fontId="18" fillId="5" borderId="17" xfId="1" applyFont="1" applyFill="1" applyBorder="1" applyProtection="1"/>
    <xf numFmtId="0" fontId="18" fillId="5" borderId="18" xfId="1" applyFont="1" applyFill="1" applyBorder="1" applyProtection="1"/>
    <xf numFmtId="0" fontId="18" fillId="0" borderId="0" xfId="1" applyFont="1"/>
    <xf numFmtId="0" fontId="13" fillId="5" borderId="0" xfId="1" applyFont="1" applyFill="1" applyBorder="1" applyAlignment="1" applyProtection="1">
      <alignment horizontal="center" vertical="center" wrapText="1"/>
    </xf>
    <xf numFmtId="0" fontId="1" fillId="5" borderId="0" xfId="1" applyFill="1" applyBorder="1"/>
    <xf numFmtId="0" fontId="1" fillId="5" borderId="19" xfId="1" applyFill="1" applyBorder="1" applyProtection="1"/>
    <xf numFmtId="0" fontId="13" fillId="5" borderId="20" xfId="1" applyFont="1" applyFill="1" applyBorder="1" applyAlignment="1" applyProtection="1">
      <alignment horizontal="center" vertical="center" wrapText="1"/>
    </xf>
    <xf numFmtId="0" fontId="14" fillId="5" borderId="20" xfId="1" applyFont="1" applyFill="1" applyBorder="1" applyAlignment="1" applyProtection="1">
      <alignment horizontal="right" vertical="center" wrapText="1"/>
    </xf>
    <xf numFmtId="0" fontId="1" fillId="5" borderId="21" xfId="1" applyFill="1" applyBorder="1" applyProtection="1"/>
    <xf numFmtId="0" fontId="1" fillId="5" borderId="0" xfId="1" applyFill="1" applyProtection="1"/>
    <xf numFmtId="0" fontId="1" fillId="5" borderId="0" xfId="1" applyFill="1" applyBorder="1" applyProtection="1"/>
    <xf numFmtId="0" fontId="2" fillId="5" borderId="0" xfId="0" applyFont="1" applyFill="1" applyBorder="1" applyAlignment="1" applyProtection="1">
      <alignment horizontal="center" vertical="center" wrapText="1"/>
      <protection hidden="1"/>
    </xf>
    <xf numFmtId="0" fontId="7" fillId="5" borderId="0" xfId="0" applyFont="1" applyFill="1" applyBorder="1" applyAlignment="1" applyProtection="1">
      <alignment horizontal="center" vertical="center" wrapText="1"/>
      <protection hidden="1"/>
    </xf>
    <xf numFmtId="1" fontId="2" fillId="5" borderId="0" xfId="0" applyNumberFormat="1" applyFont="1" applyFill="1" applyBorder="1" applyAlignment="1" applyProtection="1">
      <alignment horizontal="center" vertical="center" wrapText="1"/>
      <protection hidden="1"/>
    </xf>
    <xf numFmtId="2" fontId="2" fillId="5" borderId="0" xfId="0" applyNumberFormat="1" applyFont="1" applyFill="1" applyBorder="1" applyAlignment="1" applyProtection="1">
      <alignment horizontal="center" vertical="center" wrapText="1"/>
      <protection hidden="1"/>
    </xf>
    <xf numFmtId="0" fontId="19" fillId="4" borderId="1" xfId="0" applyFont="1" applyFill="1" applyBorder="1" applyAlignment="1" applyProtection="1">
      <alignment horizontal="center" vertical="center" wrapText="1"/>
      <protection hidden="1"/>
    </xf>
    <xf numFmtId="14" fontId="20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4" borderId="12" xfId="0" applyFont="1" applyFill="1" applyBorder="1" applyAlignment="1" applyProtection="1">
      <alignment vertical="center" wrapText="1"/>
      <protection hidden="1"/>
    </xf>
    <xf numFmtId="0" fontId="5" fillId="4" borderId="8" xfId="0" applyFont="1" applyFill="1" applyBorder="1" applyAlignment="1" applyProtection="1">
      <alignment horizontal="center" vertical="center" wrapText="1"/>
      <protection hidden="1"/>
    </xf>
    <xf numFmtId="0" fontId="5" fillId="4" borderId="13" xfId="0" applyFont="1" applyFill="1" applyBorder="1" applyAlignment="1" applyProtection="1">
      <alignment vertical="center" wrapText="1"/>
      <protection hidden="1"/>
    </xf>
    <xf numFmtId="0" fontId="5" fillId="4" borderId="10" xfId="0" applyFont="1" applyFill="1" applyBorder="1" applyAlignment="1" applyProtection="1">
      <alignment horizontal="center" vertical="center" wrapText="1"/>
      <protection hidden="1"/>
    </xf>
    <xf numFmtId="0" fontId="4" fillId="3" borderId="4" xfId="0" applyFont="1" applyFill="1" applyBorder="1" applyAlignment="1" applyProtection="1">
      <alignment vertical="center"/>
      <protection hidden="1"/>
    </xf>
    <xf numFmtId="0" fontId="3" fillId="3" borderId="1" xfId="0" quotePrefix="1" applyFont="1" applyFill="1" applyBorder="1" applyAlignment="1" applyProtection="1">
      <alignment horizontal="left" vertical="center"/>
      <protection hidden="1"/>
    </xf>
    <xf numFmtId="4" fontId="8" fillId="0" borderId="1" xfId="0" applyNumberFormat="1" applyFont="1" applyFill="1" applyBorder="1" applyAlignment="1" applyProtection="1">
      <alignment horizontal="center" vertical="center" wrapText="1"/>
      <protection hidden="1"/>
    </xf>
    <xf numFmtId="2" fontId="7" fillId="0" borderId="0" xfId="0" applyNumberFormat="1" applyFont="1" applyBorder="1" applyAlignment="1" applyProtection="1">
      <alignment horizontal="center" vertical="center" wrapText="1"/>
      <protection hidden="1"/>
    </xf>
    <xf numFmtId="0" fontId="9" fillId="5" borderId="7" xfId="0" applyFont="1" applyFill="1" applyBorder="1" applyAlignment="1" applyProtection="1">
      <alignment horizontal="center" vertical="center" wrapText="1"/>
      <protection hidden="1"/>
    </xf>
    <xf numFmtId="0" fontId="9" fillId="5" borderId="8" xfId="0" applyFont="1" applyFill="1" applyBorder="1" applyAlignment="1" applyProtection="1">
      <alignment horizontal="center" vertical="center" wrapText="1"/>
      <protection hidden="1"/>
    </xf>
    <xf numFmtId="0" fontId="9" fillId="5" borderId="9" xfId="0" applyFont="1" applyFill="1" applyBorder="1" applyAlignment="1" applyProtection="1">
      <alignment horizontal="center" vertical="center" wrapText="1"/>
      <protection hidden="1"/>
    </xf>
    <xf numFmtId="0" fontId="9" fillId="5" borderId="10" xfId="0" applyFont="1" applyFill="1" applyBorder="1" applyAlignment="1" applyProtection="1">
      <alignment horizontal="center" vertical="center" wrapText="1"/>
      <protection hidden="1"/>
    </xf>
    <xf numFmtId="1" fontId="5" fillId="4" borderId="3" xfId="0" applyNumberFormat="1" applyFont="1" applyFill="1" applyBorder="1" applyAlignment="1" applyProtection="1">
      <alignment horizontal="center" vertical="center" wrapText="1"/>
      <protection hidden="1"/>
    </xf>
    <xf numFmtId="1" fontId="5" fillId="4" borderId="2" xfId="0" applyNumberFormat="1" applyFont="1" applyFill="1" applyBorder="1" applyAlignment="1" applyProtection="1">
      <alignment horizontal="center" vertical="center" wrapText="1"/>
      <protection hidden="1"/>
    </xf>
    <xf numFmtId="0" fontId="5" fillId="4" borderId="3" xfId="0" applyFont="1" applyFill="1" applyBorder="1" applyAlignment="1" applyProtection="1">
      <alignment horizontal="center" vertical="center" wrapText="1"/>
      <protection hidden="1"/>
    </xf>
    <xf numFmtId="0" fontId="5" fillId="4" borderId="2" xfId="0" applyFont="1" applyFill="1" applyBorder="1" applyAlignment="1" applyProtection="1">
      <alignment horizontal="center" vertical="center" wrapText="1"/>
      <protection hidden="1"/>
    </xf>
    <xf numFmtId="2" fontId="5" fillId="4" borderId="3" xfId="0" applyNumberFormat="1" applyFont="1" applyFill="1" applyBorder="1" applyAlignment="1" applyProtection="1">
      <alignment horizontal="center" vertical="center" wrapText="1"/>
      <protection hidden="1"/>
    </xf>
    <xf numFmtId="2" fontId="5" fillId="4" borderId="2" xfId="0" applyNumberFormat="1" applyFont="1" applyFill="1" applyBorder="1" applyAlignment="1" applyProtection="1">
      <alignment horizontal="center" vertical="center" wrapText="1"/>
      <protection hidden="1"/>
    </xf>
    <xf numFmtId="0" fontId="5" fillId="4" borderId="4" xfId="0" applyFont="1" applyFill="1" applyBorder="1" applyAlignment="1" applyProtection="1">
      <alignment horizontal="center" vertical="center" wrapText="1"/>
      <protection hidden="1"/>
    </xf>
    <xf numFmtId="0" fontId="5" fillId="4" borderId="5" xfId="0" applyFont="1" applyFill="1" applyBorder="1" applyAlignment="1" applyProtection="1">
      <alignment horizontal="center" vertical="center" wrapText="1"/>
      <protection hidden="1"/>
    </xf>
    <xf numFmtId="0" fontId="5" fillId="4" borderId="6" xfId="0" applyFont="1" applyFill="1" applyBorder="1" applyAlignment="1" applyProtection="1">
      <alignment horizontal="center" vertical="center" wrapText="1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10" fillId="0" borderId="1" xfId="0" applyFont="1" applyFill="1" applyBorder="1" applyAlignment="1" applyProtection="1">
      <alignment horizontal="center" vertical="center" wrapText="1"/>
      <protection hidden="1"/>
    </xf>
    <xf numFmtId="1" fontId="5" fillId="4" borderId="2" xfId="0" applyNumberFormat="1" applyFont="1" applyFill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7" fillId="0" borderId="6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center" wrapText="1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hidden="1"/>
    </xf>
    <xf numFmtId="0" fontId="7" fillId="0" borderId="5" xfId="0" applyFont="1" applyFill="1" applyBorder="1" applyAlignment="1" applyProtection="1">
      <alignment horizontal="center" vertical="center" wrapText="1"/>
      <protection hidden="1"/>
    </xf>
    <xf numFmtId="0" fontId="7" fillId="0" borderId="6" xfId="0" applyFont="1" applyFill="1" applyBorder="1" applyAlignment="1" applyProtection="1">
      <alignment horizontal="center" vertical="center" wrapText="1"/>
      <protection hidden="1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7" fillId="0" borderId="4" xfId="0" applyFont="1" applyFill="1" applyBorder="1" applyAlignment="1" applyProtection="1">
      <alignment horizontal="left" vertical="center" wrapText="1"/>
      <protection hidden="1"/>
    </xf>
    <xf numFmtId="0" fontId="7" fillId="0" borderId="5" xfId="0" applyFont="1" applyFill="1" applyBorder="1" applyAlignment="1" applyProtection="1">
      <alignment horizontal="left" vertical="center" wrapText="1"/>
      <protection hidden="1"/>
    </xf>
    <xf numFmtId="0" fontId="11" fillId="4" borderId="11" xfId="0" applyFont="1" applyFill="1" applyBorder="1" applyAlignment="1" applyProtection="1">
      <alignment horizontal="center" vertical="center" wrapText="1"/>
      <protection hidden="1"/>
    </xf>
    <xf numFmtId="0" fontId="11" fillId="4" borderId="2" xfId="0" applyFont="1" applyFill="1" applyBorder="1" applyAlignment="1" applyProtection="1">
      <alignment horizontal="center" vertical="center" wrapText="1"/>
      <protection hidden="1"/>
    </xf>
    <xf numFmtId="0" fontId="11" fillId="4" borderId="4" xfId="0" applyFont="1" applyFill="1" applyBorder="1" applyAlignment="1" applyProtection="1">
      <alignment horizontal="center" vertical="center" wrapText="1"/>
      <protection hidden="1"/>
    </xf>
    <xf numFmtId="0" fontId="11" fillId="4" borderId="5" xfId="0" applyFont="1" applyFill="1" applyBorder="1" applyAlignment="1" applyProtection="1">
      <alignment horizontal="center" vertical="center" wrapText="1"/>
      <protection hidden="1"/>
    </xf>
    <xf numFmtId="0" fontId="11" fillId="4" borderId="6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left" vertical="center" wrapText="1"/>
      <protection hidden="1"/>
    </xf>
    <xf numFmtId="0" fontId="8" fillId="2" borderId="1" xfId="0" applyFont="1" applyFill="1" applyBorder="1" applyAlignment="1" applyProtection="1">
      <alignment horizontal="left" vertical="center" wrapText="1"/>
      <protection hidden="1"/>
    </xf>
    <xf numFmtId="0" fontId="3" fillId="6" borderId="0" xfId="1" applyFont="1" applyFill="1" applyBorder="1" applyAlignment="1" applyProtection="1">
      <alignment horizontal="left" vertical="center" wrapText="1"/>
    </xf>
    <xf numFmtId="0" fontId="13" fillId="4" borderId="0" xfId="1" applyFont="1" applyFill="1" applyBorder="1" applyAlignment="1" applyProtection="1">
      <alignment horizontal="center" vertical="center" wrapText="1"/>
    </xf>
    <xf numFmtId="0" fontId="1" fillId="4" borderId="0" xfId="1" applyFill="1" applyBorder="1" applyAlignment="1" applyProtection="1">
      <alignment horizontal="center" vertical="center" wrapText="1"/>
    </xf>
    <xf numFmtId="0" fontId="17" fillId="5" borderId="0" xfId="1" applyFont="1" applyFill="1" applyBorder="1" applyAlignment="1" applyProtection="1">
      <alignment horizontal="left" vertical="center"/>
    </xf>
    <xf numFmtId="0" fontId="4" fillId="5" borderId="0" xfId="1" applyFont="1" applyFill="1" applyBorder="1" applyAlignment="1" applyProtection="1">
      <alignment horizontal="left" vertical="center" wrapText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4" fillId="3" borderId="3" xfId="0" applyFont="1" applyFill="1" applyBorder="1" applyAlignment="1">
      <alignment horizontal="center" vertical="center" textRotation="90"/>
    </xf>
    <xf numFmtId="0" fontId="4" fillId="3" borderId="11" xfId="0" applyFont="1" applyFill="1" applyBorder="1" applyAlignment="1">
      <alignment horizontal="center" vertical="center" textRotation="90"/>
    </xf>
    <xf numFmtId="0" fontId="4" fillId="3" borderId="2" xfId="0" applyFont="1" applyFill="1" applyBorder="1" applyAlignment="1">
      <alignment horizontal="center" vertical="center" textRotation="90"/>
    </xf>
    <xf numFmtId="0" fontId="4" fillId="3" borderId="8" xfId="0" applyFont="1" applyFill="1" applyBorder="1" applyAlignment="1">
      <alignment horizontal="center" vertical="center" textRotation="90"/>
    </xf>
    <xf numFmtId="0" fontId="4" fillId="3" borderId="22" xfId="0" applyFont="1" applyFill="1" applyBorder="1" applyAlignment="1">
      <alignment horizontal="center" vertical="center" textRotation="90"/>
    </xf>
  </cellXfs>
  <cellStyles count="3">
    <cellStyle name="Normal" xfId="0" builtinId="0"/>
    <cellStyle name="Normal 2" xfId="1"/>
    <cellStyle name="Normal 3" xfId="2"/>
  </cellStyles>
  <dxfs count="738"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CF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71436</xdr:colOff>
      <xdr:row>0</xdr:row>
      <xdr:rowOff>59530</xdr:rowOff>
    </xdr:from>
    <xdr:to>
      <xdr:col>0</xdr:col>
      <xdr:colOff>3881436</xdr:colOff>
      <xdr:row>1</xdr:row>
      <xdr:rowOff>464819</xdr:rowOff>
    </xdr:to>
    <xdr:pic>
      <xdr:nvPicPr>
        <xdr:cNvPr id="2" name="Imagem 1" descr="Bradesco-Seguros-Nova-750x129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1436" y="59530"/>
          <a:ext cx="3810000" cy="655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57150</xdr:rowOff>
    </xdr:from>
    <xdr:to>
      <xdr:col>10</xdr:col>
      <xdr:colOff>304800</xdr:colOff>
      <xdr:row>2</xdr:row>
      <xdr:rowOff>712470</xdr:rowOff>
    </xdr:to>
    <xdr:pic>
      <xdr:nvPicPr>
        <xdr:cNvPr id="2" name="Imagem 1" descr="Bradesco-Seguros-Nova-750x129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4800" y="333375"/>
          <a:ext cx="3810000" cy="655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fsportal.scopus.com.br/GovernancaTIRel/EscritorioProj/EscritorioMetricas/APF-EM_PCPF/V2.3/EM_PCPF_v23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critório de Métricas - BS"/>
      <sheetName val="PCPF"/>
      <sheetName val="Fases"/>
      <sheetName val="Estimativa"/>
      <sheetName val="PCPF - Fornecedor"/>
      <sheetName val="Divergência"/>
      <sheetName val="Controle de Contagens"/>
      <sheetName val="Controle Negociações"/>
      <sheetName val="Taxas Fornecedores"/>
      <sheetName val="Assertividade"/>
      <sheetName val="Tecnologias"/>
      <sheetName val="Habilitar Macros"/>
    </sheetNames>
    <sheetDataSet>
      <sheetData sheetId="0" refreshError="1"/>
      <sheetData sheetId="1"/>
      <sheetData sheetId="2">
        <row r="8">
          <cell r="D8">
            <v>100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4">
          <cell r="B4" t="str">
            <v>DB2</v>
          </cell>
        </row>
        <row r="5">
          <cell r="B5" t="str">
            <v>Lotus Domino</v>
          </cell>
        </row>
        <row r="6">
          <cell r="B6" t="str">
            <v>MySQL</v>
          </cell>
        </row>
        <row r="7">
          <cell r="B7" t="str">
            <v>Oracle</v>
          </cell>
        </row>
        <row r="8">
          <cell r="B8" t="str">
            <v>VSAM</v>
          </cell>
        </row>
        <row r="9">
          <cell r="B9" t="str">
            <v>SAS</v>
          </cell>
        </row>
        <row r="10">
          <cell r="B10" t="str">
            <v>SQL-Server</v>
          </cell>
        </row>
      </sheetData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AE119"/>
  <sheetViews>
    <sheetView showGridLines="0" showZeros="0" tabSelected="1" topLeftCell="B1" zoomScaleNormal="100" zoomScaleSheetLayoutView="75" workbookViewId="0">
      <pane ySplit="5" topLeftCell="A77" activePane="bottomLeft" state="frozen"/>
      <selection pane="bottomLeft" activeCell="J82" sqref="J82"/>
    </sheetView>
  </sheetViews>
  <sheetFormatPr defaultColWidth="9.140625" defaultRowHeight="15" x14ac:dyDescent="0.2"/>
  <cols>
    <col min="1" max="2" width="66.5703125" style="1" customWidth="1"/>
    <col min="3" max="3" width="9.7109375" style="2" customWidth="1"/>
    <col min="4" max="5" width="11.7109375" style="2" customWidth="1"/>
    <col min="6" max="6" width="16.5703125" style="2" bestFit="1" customWidth="1"/>
    <col min="7" max="7" width="12.28515625" style="3" customWidth="1"/>
    <col min="8" max="8" width="12.7109375" style="2" customWidth="1"/>
    <col min="9" max="9" width="9.140625" style="2" bestFit="1"/>
    <col min="10" max="11" width="12.7109375" style="2" customWidth="1"/>
    <col min="12" max="12" width="14.140625" style="2" customWidth="1"/>
    <col min="13" max="13" width="12.7109375" style="2" customWidth="1"/>
    <col min="14" max="14" width="15.7109375" style="2" customWidth="1"/>
    <col min="15" max="18" width="11.7109375" style="2" customWidth="1"/>
    <col min="19" max="19" width="15.7109375" style="2" customWidth="1"/>
    <col min="20" max="20" width="9.85546875" style="4" customWidth="1"/>
    <col min="21" max="21" width="16.5703125" style="2" bestFit="1" customWidth="1"/>
    <col min="22" max="22" width="12.7109375" style="4" customWidth="1"/>
    <col min="23" max="23" width="15.5703125" style="1" bestFit="1" customWidth="1"/>
    <col min="24" max="29" width="9.140625" style="39"/>
    <col min="30" max="16384" width="9.140625" style="1"/>
  </cols>
  <sheetData>
    <row r="1" spans="1:31" ht="20.100000000000001" customHeight="1" x14ac:dyDescent="0.2">
      <c r="A1" s="45"/>
      <c r="B1" s="46"/>
      <c r="C1" s="53" t="s">
        <v>6</v>
      </c>
      <c r="D1" s="53"/>
      <c r="E1" s="53"/>
      <c r="F1" s="53"/>
      <c r="G1" s="53"/>
      <c r="H1" s="53"/>
      <c r="I1" s="53"/>
      <c r="J1" s="54"/>
      <c r="K1" s="66" t="s">
        <v>7</v>
      </c>
      <c r="L1" s="66"/>
      <c r="M1" s="66" t="s">
        <v>13</v>
      </c>
      <c r="N1" s="66"/>
      <c r="O1" s="63" t="s">
        <v>17</v>
      </c>
      <c r="P1" s="64"/>
      <c r="Q1" s="64"/>
      <c r="R1" s="64"/>
      <c r="S1" s="64"/>
      <c r="T1" s="64"/>
      <c r="U1" s="65"/>
      <c r="V1" s="66" t="s">
        <v>47</v>
      </c>
      <c r="W1" s="66"/>
    </row>
    <row r="2" spans="1:31" ht="39.950000000000003" customHeight="1" x14ac:dyDescent="0.2">
      <c r="A2" s="47"/>
      <c r="B2" s="48"/>
      <c r="C2" s="55"/>
      <c r="D2" s="55"/>
      <c r="E2" s="55"/>
      <c r="F2" s="55"/>
      <c r="G2" s="55"/>
      <c r="H2" s="55"/>
      <c r="I2" s="55"/>
      <c r="J2" s="56"/>
      <c r="K2" s="43" t="s">
        <v>87</v>
      </c>
      <c r="L2" s="44">
        <v>42649</v>
      </c>
      <c r="M2" s="69"/>
      <c r="N2" s="70"/>
      <c r="O2" s="71" t="s">
        <v>154</v>
      </c>
      <c r="P2" s="72"/>
      <c r="Q2" s="72"/>
      <c r="R2" s="72"/>
      <c r="S2" s="72"/>
      <c r="T2" s="72"/>
      <c r="U2" s="73"/>
      <c r="V2" s="67" t="s">
        <v>46</v>
      </c>
      <c r="W2" s="67"/>
    </row>
    <row r="3" spans="1:31" ht="20.100000000000001" customHeight="1" x14ac:dyDescent="0.2">
      <c r="A3" s="80" t="s">
        <v>14</v>
      </c>
      <c r="B3" s="80" t="s">
        <v>61</v>
      </c>
      <c r="C3" s="82" t="s">
        <v>50</v>
      </c>
      <c r="D3" s="83"/>
      <c r="E3" s="83"/>
      <c r="F3" s="83"/>
      <c r="G3" s="84"/>
      <c r="H3" s="82" t="s">
        <v>49</v>
      </c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4"/>
      <c r="X3" s="40"/>
      <c r="Y3" s="40"/>
      <c r="Z3" s="40"/>
      <c r="AA3" s="40"/>
      <c r="AB3" s="40"/>
      <c r="AC3" s="40"/>
      <c r="AD3" s="8"/>
      <c r="AE3" s="8"/>
    </row>
    <row r="4" spans="1:31" ht="20.100000000000001" customHeight="1" x14ac:dyDescent="0.2">
      <c r="A4" s="80"/>
      <c r="B4" s="80"/>
      <c r="C4" s="59" t="s">
        <v>51</v>
      </c>
      <c r="D4" s="59" t="s">
        <v>8</v>
      </c>
      <c r="E4" s="59" t="s">
        <v>9</v>
      </c>
      <c r="F4" s="59" t="s">
        <v>5</v>
      </c>
      <c r="G4" s="57" t="s">
        <v>18</v>
      </c>
      <c r="H4" s="59" t="s">
        <v>66</v>
      </c>
      <c r="I4" s="59" t="s">
        <v>15</v>
      </c>
      <c r="J4" s="63" t="s">
        <v>16</v>
      </c>
      <c r="K4" s="64"/>
      <c r="L4" s="64"/>
      <c r="M4" s="64"/>
      <c r="N4" s="65"/>
      <c r="O4" s="63" t="s">
        <v>10</v>
      </c>
      <c r="P4" s="64"/>
      <c r="Q4" s="64"/>
      <c r="R4" s="64"/>
      <c r="S4" s="65"/>
      <c r="T4" s="61" t="s">
        <v>0</v>
      </c>
      <c r="U4" s="59" t="s">
        <v>5</v>
      </c>
      <c r="V4" s="57" t="s">
        <v>69</v>
      </c>
      <c r="W4" s="59" t="s">
        <v>19</v>
      </c>
      <c r="X4" s="40"/>
      <c r="Y4" s="40"/>
      <c r="Z4" s="40"/>
      <c r="AA4" s="40"/>
      <c r="AB4" s="40"/>
      <c r="AC4" s="40"/>
      <c r="AD4" s="8"/>
      <c r="AE4" s="8"/>
    </row>
    <row r="5" spans="1:31" ht="20.100000000000001" customHeight="1" x14ac:dyDescent="0.2">
      <c r="A5" s="81"/>
      <c r="B5" s="81"/>
      <c r="C5" s="60"/>
      <c r="D5" s="60"/>
      <c r="E5" s="60"/>
      <c r="F5" s="60"/>
      <c r="G5" s="68"/>
      <c r="H5" s="60"/>
      <c r="I5" s="60"/>
      <c r="J5" s="16" t="s">
        <v>1</v>
      </c>
      <c r="K5" s="16" t="s">
        <v>2</v>
      </c>
      <c r="L5" s="16" t="s">
        <v>3</v>
      </c>
      <c r="M5" s="16" t="s">
        <v>4</v>
      </c>
      <c r="N5" s="16" t="s">
        <v>11</v>
      </c>
      <c r="O5" s="16" t="s">
        <v>1</v>
      </c>
      <c r="P5" s="16" t="s">
        <v>2</v>
      </c>
      <c r="Q5" s="16" t="s">
        <v>3</v>
      </c>
      <c r="R5" s="16" t="s">
        <v>4</v>
      </c>
      <c r="S5" s="16" t="s">
        <v>12</v>
      </c>
      <c r="T5" s="62"/>
      <c r="U5" s="60"/>
      <c r="V5" s="58"/>
      <c r="W5" s="60"/>
      <c r="X5" s="40"/>
      <c r="Y5" s="40"/>
      <c r="Z5" s="40"/>
      <c r="AA5" s="40"/>
      <c r="AB5" s="40"/>
      <c r="AC5" s="40"/>
      <c r="AD5" s="8"/>
      <c r="AE5" s="8"/>
    </row>
    <row r="6" spans="1:31" ht="39.950000000000003" customHeight="1" x14ac:dyDescent="0.2">
      <c r="A6" s="9" t="s">
        <v>89</v>
      </c>
      <c r="B6" s="9" t="s">
        <v>88</v>
      </c>
      <c r="C6" s="10"/>
      <c r="D6" s="11"/>
      <c r="E6" s="11"/>
      <c r="F6" s="12" t="str">
        <f>IF(OR(TRIM(A6)="",AND(E6=0,D6&lt;&gt;0)),"-",IF(AND(OR(C6="EE",C6="CE",C6="SE"),D6=0,E6=0), "Médio", IF(AND(OR(C6="ALI",C6="AIE"),D6=0,E6=0),"Baixo",IF(OR(C6="ALI",C6="AIE"),IF(D6=0,"-",VLOOKUP(D6,{1,"Baixo","Baixo","Médio";2,"Baixo","Médio","Alto";6,"Médio","Alto","Alto"},MATCH(E6,{1,20,51})+1)),IF(C6="EE",VLOOKUP(D6,{0,"Baixo","Baixo","Médio";2,"Baixo","Médio","Alto";3,"Médio","Alto","Alto"},MATCH(E6,{1,5,16})+1),IF(OR(C6="SE",C6="CE"),IF(AND(D6=0,C6="CE"),"-",VLOOKUP(D6,{0,"Baixo","Baixo","Médio";2,"Baixo","Médio","Alto";4,"Médio","Alto","Alto"},MATCH(E6,{1,6,20})+1)),"-"))))))</f>
        <v>-</v>
      </c>
      <c r="G6" s="13" t="str">
        <f>IF(F6="-","-",VLOOKUP(C6,{"ALI",7,10,15;"AIE",5,7,10;"EE",3,4,6;"SE",4,5,7;"CE",3,4,6},MATCH(F6,{"Baixo","Médio","Alto"},0)+1,FALSE))</f>
        <v>-</v>
      </c>
      <c r="H6" s="11" t="s">
        <v>77</v>
      </c>
      <c r="I6" s="15" t="s">
        <v>73</v>
      </c>
      <c r="J6" s="11"/>
      <c r="K6" s="11"/>
      <c r="L6" s="11"/>
      <c r="M6" s="12">
        <f t="shared" ref="M6" si="0">IF(OR(TRIM(A6)="",AND(OR(D6&lt;&gt;0,G6&lt;&gt;"-"),H6="Criar"),AND(G6="-",H6&lt;&gt;"Criar",H6&lt;&gt;"Dados de Código"),AND(H6="Eliminar",OR(C6&lt;&gt;I6,SUM(J6:L6)&lt;&gt;0)),AND(OR(H6="Modificar",H6="Perfectiva",H6="Somente teste",H6="Teste + Plano"),OR(AND(OR(C6="ALI",C6="AIE"),AND(I6&lt;&gt;"ALI",I6&lt;&gt;"AIE")),AND(OR(C6="EE",C6="SE",C6="CE"),AND(I6&lt;&gt;"EE",I6&lt;&gt;"SE",I6&lt;&gt;"CE")))),(D6+J6-L6)&lt;0,(D6-K6-L6)&lt;0,AND((D6+J6-L6)=0,I6&lt;&gt;"EE",I6&lt;&gt;"SE")),"-",IF(AND(H6&lt;&gt;"Perfectiva",H6&lt;&gt;"Somente teste",H6&lt;&gt;"Teste + Plano"),D6+J6-L6,D6))</f>
        <v>0</v>
      </c>
      <c r="N6" s="13" t="str">
        <f t="shared" ref="N6" si="1">IF(OR(M6="-",AND(H6&lt;&gt;"Modificar",H6&lt;&gt;"Dados de Código"),AND(H6="Dados de Código",OR(F6="-",D6+E6=0)),AND(I6&lt;&gt;"EE",I6&lt;&gt;"SE",I6&lt;&gt;"CE")),"-",IF(D6=0,IF(M6=0,0,100),INT(SUM(J6:L6)/D6*100)))</f>
        <v>-</v>
      </c>
      <c r="O6" s="11"/>
      <c r="P6" s="11"/>
      <c r="Q6" s="11"/>
      <c r="R6" s="12" t="str">
        <f t="shared" ref="R6" si="2">IF(OR(TRIM(A6)="",AND(OR(G6&lt;&gt;"-",E6&lt;&gt;0),H6="Criar"),AND(OR(G6="-", D6+E6=0),H6&lt;&gt;"Criar",H6&lt;&gt;"Dados de Código"), AND(H6="Eliminar",OR(C6&lt;&gt;I6,SUM(O6:Q6)&lt;&gt;0)),AND(OR(H6="Modificar",H6="Perfectiva",H6="Somente teste",H6="Teste + Plano"),OR(AND(OR(C6="ALI",C6="AIE"),AND(I6&lt;&gt;"ALI",I6&lt;&gt;"AIE")),AND(OR(C6="EE",C6="SE",C6="CE"),AND(I6&lt;&gt;"EE",I6&lt;&gt;"SE",I6&lt;&gt;"CE")))),(E6+O6-Q6)&lt;=0,(E6-P6-Q6)&lt;0),"-",IF(AND(H6&lt;&gt;"Perfectiva",H6&lt;&gt;"Somente teste",H6&lt;&gt;"Teste + Plano"),E6+O6-Q6,E6))</f>
        <v>-</v>
      </c>
      <c r="S6" s="13" t="str">
        <f t="shared" ref="S6" si="3">IF(OR(R6="-",AND(H6&lt;&gt;"Modificar",H6&lt;&gt;"Dados de Código"),AND(H6="Dados de Código",OR(F6="-",D6+E6=0))),"-",INT(SUM(O6:Q6)/E6*100))</f>
        <v>-</v>
      </c>
      <c r="T6" s="14">
        <f>IF(AND(H6="Modificar",SUM(J6:R6)=0),0.25,IF(AND(H6="Dados de Código",AND(D6+E6=0,OR(C6="-",C6=""))),0.1,IF(H6="Eliminar",0.4,IF(H6="Perfectiva",0.3,IF(H6="Somente teste",0.15,IF(H6="Teste + Plano",0.2,IF(H6="Criar",1,IF(OR(AND(H6&lt;&gt;"Modificar",H6&lt;&gt;"Dados de Código"),M6="-",S6="-"),"-",IF(OR(I6="ALI",I6="AIE"),IF(LEFT(C6)&lt;&gt;"A","-",IF(AND(SUM(J6:L6)=0,SUM(O6:Q6)=0),IF(C6&lt;&gt;I6,0.4,"-"),IF(H6="Modificar",HLOOKUP(S6,{0,34,68,101;0.25,0.5,0.75,1},2),HLOOKUP(S6,{0,34,68,101;0.25,0.5,0.75,1},2)*0.1))),IF(OR(AND(I6&lt;&gt;"EE",I6&lt;&gt;"SE",I6&lt;&gt;"CE"),N6="-"),"-", IF(H6="Modificar",VLOOKUP(N6,{0,0.25,0.5,0.75;34,0.5,0.75,1;68,0.75,1,1;101,1,1,1},MATCH(S6,{0,68,101})+1),VLOOKUP(N6,{0,0.25,0.5,0.75;34,0.5,0.75,1;68,0.75,1,1;101,1,1,1},MATCH(S6,{0,68,101})+1)*0.1)))))))))))</f>
        <v>1</v>
      </c>
      <c r="U6" s="14" t="str">
        <f>IF(AND(H6="Modificar",D6+E6=0),F6,IF(OR(T6="-",AND(OR(H6="Perfectiva",H6="Somente teste",H6="Teste + Plano"),F6="-",I6=""),AND(H6="Eliminar",AND(C6&lt;&gt;I6,I6&lt;&gt;"-",I6&lt;&gt;""))),"-",IF(AND(H6="Criar",OR(AND(C6&lt;&gt;"",C6&lt;&gt;"-"),F6&lt;&gt;"-",I6="")),"X",IF(AND(A6&lt;&gt;"",H6&lt;&gt;"Eliminar",F6="-",T6&lt;&gt;0,J6+K6+L6+O6+P6+Q6=0),IF(OR(I6="ALI",I6="AIE"),"Baixo","Médio"),IF(AND(OR(M6="-",R6="-"),OR(H6="Criar",F6="-",AND(H6="Eliminar",J6+K6+L6+O6+P6+Q6&lt;&gt;0))),"-",IF(OR(H6="Perfectiva",H6="Eliminar",H6="Somente teste",H6="Teste + Plano"),F6,IF(OR(I6="ALI",I6="AIE"),IF(M6=0,"-",VLOOKUP(M6,{1,"Baixo","Baixo","Médio";2,"Baixo","Médio","Alto";6,"Médio","Alto","Alto"},MATCH(R6,{1,20,51})+1)),IF(I6="EE",VLOOKUP(M6,{0,"Baixo","Baixo","Médio";2,"Baixo","Médio","Alto";3,"Médio","Alto","Alto"},MATCH(R6,{1,5,16})+1),IF(OR(I6="SE",I6="CE"),IF(AND(M6=0,I6="CE"),IF(OR(H6="Perfectiva",H6="Eliminar",H6="Somente teste",H6="Teste + Plano",H6="Modificar"),F6,"-"),VLOOKUP(M6,{0,"Baixo","Baixo","Médio";2,"Baixo","Médio","Alto";4,"Médio","Alto","Alto"},MATCH(R6,{1,6,20})+1)),)))))))))</f>
        <v>Médio</v>
      </c>
      <c r="V6" s="14">
        <f>IF(OR(T6="-",U6="-",OR(AND(OR(I6="-",I6=""),OR(H6="Modificar",H6="Dados de Código")))),"-",IF(H6="Eliminar",G6*T6,IF(AND(OR(H6="Teste + Plano",H6="Somente teste"),F6&lt;&gt;"-"),(G6*0.5)*T6,T6*VLOOKUP(I6,{"ALI",7,10,15;"AIE",5,7,10;"EE",3,4,6;"SE",4,5,7;"CE",3,4,6},MATCH(U6,{"Baixo","Médio","Alto"},0)+1,FALSE))))</f>
        <v>5</v>
      </c>
      <c r="W6" s="15" t="s">
        <v>32</v>
      </c>
      <c r="X6" s="40"/>
      <c r="Y6" s="40"/>
      <c r="Z6" s="40"/>
      <c r="AA6" s="40"/>
      <c r="AB6" s="40"/>
      <c r="AC6" s="40"/>
      <c r="AD6" s="8"/>
      <c r="AE6" s="8"/>
    </row>
    <row r="7" spans="1:31" ht="39.950000000000003" customHeight="1" x14ac:dyDescent="0.2">
      <c r="A7" s="9" t="s">
        <v>90</v>
      </c>
      <c r="B7" s="9" t="s">
        <v>88</v>
      </c>
      <c r="C7" s="10"/>
      <c r="D7" s="11"/>
      <c r="E7" s="11"/>
      <c r="F7" s="12" t="str">
        <f>IF(OR(TRIM(A7)="",AND(E7=0,D7&lt;&gt;0)),"-",IF(AND(OR(C7="EE",C7="CE",C7="SE"),D7=0,E7=0), "Médio", IF(AND(OR(C7="ALI",C7="AIE"),D7=0,E7=0),"Baixo",IF(OR(C7="ALI",C7="AIE"),IF(D7=0,"-",VLOOKUP(D7,{1,"Baixo","Baixo","Médio";2,"Baixo","Médio","Alto";6,"Médio","Alto","Alto"},MATCH(E7,{1,20,51})+1)),IF(C7="EE",VLOOKUP(D7,{0,"Baixo","Baixo","Médio";2,"Baixo","Médio","Alto";3,"Médio","Alto","Alto"},MATCH(E7,{1,5,16})+1),IF(OR(C7="SE",C7="CE"),IF(AND(D7=0,C7="CE"),"-",VLOOKUP(D7,{0,"Baixo","Baixo","Médio";2,"Baixo","Médio","Alto";4,"Médio","Alto","Alto"},MATCH(E7,{1,6,20})+1)),"-"))))))</f>
        <v>-</v>
      </c>
      <c r="G7" s="13" t="str">
        <f>IF(F7="-","-",VLOOKUP(C7,{"ALI",7,10,15;"AIE",5,7,10;"EE",3,4,6;"SE",4,5,7;"CE",3,4,6},MATCH(F7,{"Baixo","Médio","Alto"},0)+1,FALSE))</f>
        <v>-</v>
      </c>
      <c r="H7" s="11" t="s">
        <v>77</v>
      </c>
      <c r="I7" s="15" t="s">
        <v>73</v>
      </c>
      <c r="J7" s="11"/>
      <c r="K7" s="11"/>
      <c r="L7" s="11"/>
      <c r="M7" s="12">
        <f t="shared" ref="M7:M10" si="4">IF(OR(TRIM(A7)="",AND(OR(D7&lt;&gt;0,G7&lt;&gt;"-"),H7="Criar"),AND(G7="-",H7&lt;&gt;"Criar",H7&lt;&gt;"Dados de Código"),AND(H7="Eliminar",OR(C7&lt;&gt;I7,SUM(J7:L7)&lt;&gt;0)),AND(OR(H7="Modificar",H7="Perfectiva",H7="Somente teste",H7="Teste + Plano"),OR(AND(OR(C7="ALI",C7="AIE"),AND(I7&lt;&gt;"ALI",I7&lt;&gt;"AIE")),AND(OR(C7="EE",C7="SE",C7="CE"),AND(I7&lt;&gt;"EE",I7&lt;&gt;"SE",I7&lt;&gt;"CE")))),(D7+J7-L7)&lt;0,(D7-K7-L7)&lt;0,AND((D7+J7-L7)=0,I7&lt;&gt;"EE",I7&lt;&gt;"SE")),"-",IF(AND(H7&lt;&gt;"Perfectiva",H7&lt;&gt;"Somente teste",H7&lt;&gt;"Teste + Plano"),D7+J7-L7,D7))</f>
        <v>0</v>
      </c>
      <c r="N7" s="13" t="str">
        <f t="shared" ref="N7:N10" si="5">IF(OR(M7="-",AND(H7&lt;&gt;"Modificar",H7&lt;&gt;"Dados de Código"),AND(H7="Dados de Código",OR(F7="-",D7+E7=0)),AND(I7&lt;&gt;"EE",I7&lt;&gt;"SE",I7&lt;&gt;"CE")),"-",IF(D7=0,IF(M7=0,0,100),INT(SUM(J7:L7)/D7*100)))</f>
        <v>-</v>
      </c>
      <c r="O7" s="11"/>
      <c r="P7" s="11"/>
      <c r="Q7" s="11"/>
      <c r="R7" s="12" t="str">
        <f t="shared" ref="R7:R10" si="6">IF(OR(TRIM(A7)="",AND(OR(G7&lt;&gt;"-",E7&lt;&gt;0),H7="Criar"),AND(OR(G7="-", D7+E7=0),H7&lt;&gt;"Criar",H7&lt;&gt;"Dados de Código"), AND(H7="Eliminar",OR(C7&lt;&gt;I7,SUM(O7:Q7)&lt;&gt;0)),AND(OR(H7="Modificar",H7="Perfectiva",H7="Somente teste",H7="Teste + Plano"),OR(AND(OR(C7="ALI",C7="AIE"),AND(I7&lt;&gt;"ALI",I7&lt;&gt;"AIE")),AND(OR(C7="EE",C7="SE",C7="CE"),AND(I7&lt;&gt;"EE",I7&lt;&gt;"SE",I7&lt;&gt;"CE")))),(E7+O7-Q7)&lt;=0,(E7-P7-Q7)&lt;0),"-",IF(AND(H7&lt;&gt;"Perfectiva",H7&lt;&gt;"Somente teste",H7&lt;&gt;"Teste + Plano"),E7+O7-Q7,E7))</f>
        <v>-</v>
      </c>
      <c r="S7" s="13" t="str">
        <f t="shared" ref="S7:S10" si="7">IF(OR(R7="-",AND(H7&lt;&gt;"Modificar",H7&lt;&gt;"Dados de Código"),AND(H7="Dados de Código",OR(F7="-",D7+E7=0))),"-",INT(SUM(O7:Q7)/E7*100))</f>
        <v>-</v>
      </c>
      <c r="T7" s="14">
        <f>IF(AND(H7="Modificar",SUM(J7:R7)=0),0.25,IF(AND(H7="Dados de Código",AND(D7+E7=0,OR(C7="-",C7=""))),0.1,IF(H7="Eliminar",0.4,IF(H7="Perfectiva",0.3,IF(H7="Somente teste",0.15,IF(H7="Teste + Plano",0.2,IF(H7="Criar",1,IF(OR(AND(H7&lt;&gt;"Modificar",H7&lt;&gt;"Dados de Código"),M7="-",S7="-"),"-",IF(OR(I7="ALI",I7="AIE"),IF(LEFT(C7)&lt;&gt;"A","-",IF(AND(SUM(J7:L7)=0,SUM(O7:Q7)=0),IF(C7&lt;&gt;I7,0.4,"-"),IF(H7="Modificar",HLOOKUP(S7,{0,34,68,101;0.25,0.5,0.75,1},2),HLOOKUP(S7,{0,34,68,101;0.25,0.5,0.75,1},2)*0.1))),IF(OR(AND(I7&lt;&gt;"EE",I7&lt;&gt;"SE",I7&lt;&gt;"CE"),N7="-"),"-", IF(H7="Modificar",VLOOKUP(N7,{0,0.25,0.5,0.75;34,0.5,0.75,1;68,0.75,1,1;101,1,1,1},MATCH(S7,{0,68,101})+1),VLOOKUP(N7,{0,0.25,0.5,0.75;34,0.5,0.75,1;68,0.75,1,1;101,1,1,1},MATCH(S7,{0,68,101})+1)*0.1)))))))))))</f>
        <v>1</v>
      </c>
      <c r="U7" s="14" t="str">
        <f>IF(AND(H7="Modificar",D7+E7=0),F7,IF(OR(T7="-",AND(OR(H7="Perfectiva",H7="Somente teste",H7="Teste + Plano"),F7="-",I7=""),AND(H7="Eliminar",AND(C7&lt;&gt;I7,I7&lt;&gt;"-",I7&lt;&gt;""))),"-",IF(AND(H7="Criar",OR(AND(C7&lt;&gt;"",C7&lt;&gt;"-"),F7&lt;&gt;"-",I7="")),"X",IF(AND(A7&lt;&gt;"",H7&lt;&gt;"Eliminar",F7="-",T7&lt;&gt;0,J7+K7+L7+O7+P7+Q7=0),IF(OR(I7="ALI",I7="AIE"),"Baixo","Médio"),IF(AND(OR(M7="-",R7="-"),OR(H7="Criar",F7="-",AND(H7="Eliminar",J7+K7+L7+O7+P7+Q7&lt;&gt;0))),"-",IF(OR(H7="Perfectiva",H7="Eliminar",H7="Somente teste",H7="Teste + Plano"),F7,IF(OR(I7="ALI",I7="AIE"),IF(M7=0,"-",VLOOKUP(M7,{1,"Baixo","Baixo","Médio";2,"Baixo","Médio","Alto";6,"Médio","Alto","Alto"},MATCH(R7,{1,20,51})+1)),IF(I7="EE",VLOOKUP(M7,{0,"Baixo","Baixo","Médio";2,"Baixo","Médio","Alto";3,"Médio","Alto","Alto"},MATCH(R7,{1,5,16})+1),IF(OR(I7="SE",I7="CE"),IF(AND(M7=0,I7="CE"),IF(OR(H7="Perfectiva",H7="Eliminar",H7="Somente teste",H7="Teste + Plano",H7="Modificar"),F7,"-"),VLOOKUP(M7,{0,"Baixo","Baixo","Médio";2,"Baixo","Médio","Alto";4,"Médio","Alto","Alto"},MATCH(R7,{1,6,20})+1)),)))))))))</f>
        <v>Médio</v>
      </c>
      <c r="V7" s="14">
        <f>IF(OR(T7="-",U7="-",OR(AND(OR(I7="-",I7=""),OR(H7="Modificar",H7="Dados de Código")))),"-",IF(H7="Eliminar",G7*T7,IF(AND(OR(H7="Teste + Plano",H7="Somente teste"),F7&lt;&gt;"-"),(G7*0.5)*T7,T7*VLOOKUP(I7,{"ALI",7,10,15;"AIE",5,7,10;"EE",3,4,6;"SE",4,5,7;"CE",3,4,6},MATCH(U7,{"Baixo","Médio","Alto"},0)+1,FALSE))))</f>
        <v>5</v>
      </c>
      <c r="W7" s="15" t="s">
        <v>32</v>
      </c>
      <c r="X7" s="40"/>
      <c r="Y7" s="40"/>
      <c r="Z7" s="40"/>
      <c r="AA7" s="40"/>
      <c r="AB7" s="40"/>
      <c r="AC7" s="40"/>
      <c r="AD7" s="8"/>
      <c r="AE7" s="8"/>
    </row>
    <row r="8" spans="1:31" ht="39.950000000000003" customHeight="1" x14ac:dyDescent="0.2">
      <c r="A8" s="9" t="s">
        <v>165</v>
      </c>
      <c r="B8" s="9" t="s">
        <v>88</v>
      </c>
      <c r="C8" s="10" t="s">
        <v>70</v>
      </c>
      <c r="D8" s="11"/>
      <c r="E8" s="11"/>
      <c r="F8" s="12" t="str">
        <f>IF(OR(TRIM(A8)="",AND(E8=0,D8&lt;&gt;0)),"-",IF(AND(OR(C8="EE",C8="CE",C8="SE"),D8=0,E8=0), "Médio", IF(AND(OR(C8="ALI",C8="AIE"),D8=0,E8=0),"Baixo",IF(OR(C8="ALI",C8="AIE"),IF(D8=0,"-",VLOOKUP(D8,{1,"Baixo","Baixo","Médio";2,"Baixo","Médio","Alto";6,"Médio","Alto","Alto"},MATCH(E8,{1,20,51})+1)),IF(C8="EE",VLOOKUP(D8,{0,"Baixo","Baixo","Médio";2,"Baixo","Médio","Alto";3,"Médio","Alto","Alto"},MATCH(E8,{1,5,16})+1),IF(OR(C8="SE",C8="CE"),IF(AND(D8=0,C8="CE"),"-",VLOOKUP(D8,{0,"Baixo","Baixo","Médio";2,"Baixo","Médio","Alto";4,"Médio","Alto","Alto"},MATCH(E8,{1,6,20})+1)),"-"))))))</f>
        <v>-</v>
      </c>
      <c r="G8" s="13" t="str">
        <f>IF(F8="-","-",VLOOKUP(C8,{"ALI",7,10,15;"AIE",5,7,10;"EE",3,4,6;"SE",4,5,7;"CE",3,4,6},MATCH(F8,{"Baixo","Médio","Alto"},0)+1,FALSE))</f>
        <v>-</v>
      </c>
      <c r="H8" s="11" t="s">
        <v>77</v>
      </c>
      <c r="I8" s="15" t="s">
        <v>73</v>
      </c>
      <c r="J8" s="11"/>
      <c r="K8" s="11"/>
      <c r="L8" s="11"/>
      <c r="M8" s="12">
        <f t="shared" si="4"/>
        <v>0</v>
      </c>
      <c r="N8" s="13" t="str">
        <f t="shared" si="5"/>
        <v>-</v>
      </c>
      <c r="O8" s="11"/>
      <c r="P8" s="11"/>
      <c r="Q8" s="11"/>
      <c r="R8" s="12" t="str">
        <f t="shared" si="6"/>
        <v>-</v>
      </c>
      <c r="S8" s="13" t="str">
        <f t="shared" si="7"/>
        <v>-</v>
      </c>
      <c r="T8" s="14">
        <f>IF(AND(H8="Modificar",SUM(J8:R8)=0),0.25,IF(AND(H8="Dados de Código",AND(D8+E8=0,OR(C8="-",C8=""))),0.1,IF(H8="Eliminar",0.4,IF(H8="Perfectiva",0.3,IF(H8="Somente teste",0.15,IF(H8="Teste + Plano",0.2,IF(H8="Criar",1,IF(OR(AND(H8&lt;&gt;"Modificar",H8&lt;&gt;"Dados de Código"),M8="-",S8="-"),"-",IF(OR(I8="ALI",I8="AIE"),IF(LEFT(C8)&lt;&gt;"A","-",IF(AND(SUM(J8:L8)=0,SUM(O8:Q8)=0),IF(C8&lt;&gt;I8,0.4,"-"),IF(H8="Modificar",HLOOKUP(S8,{0,34,68,101;0.25,0.5,0.75,1},2),HLOOKUP(S8,{0,34,68,101;0.25,0.5,0.75,1},2)*0.1))),IF(OR(AND(I8&lt;&gt;"EE",I8&lt;&gt;"SE",I8&lt;&gt;"CE"),N8="-"),"-", IF(H8="Modificar",VLOOKUP(N8,{0,0.25,0.5,0.75;34,0.5,0.75,1;68,0.75,1,1;101,1,1,1},MATCH(S8,{0,68,101})+1),VLOOKUP(N8,{0,0.25,0.5,0.75;34,0.5,0.75,1;68,0.75,1,1;101,1,1,1},MATCH(S8,{0,68,101})+1)*0.1)))))))))))</f>
        <v>1</v>
      </c>
      <c r="U8" s="14" t="str">
        <f>IF(AND(H8="Modificar",D8+E8=0),F8,IF(OR(T8="-",AND(OR(H8="Perfectiva",H8="Somente teste",H8="Teste + Plano"),F8="-",I8=""),AND(H8="Eliminar",AND(C8&lt;&gt;I8,I8&lt;&gt;"-",I8&lt;&gt;""))),"-",IF(AND(H8="Criar",OR(AND(C8&lt;&gt;"",C8&lt;&gt;"-"),F8&lt;&gt;"-",I8="")),"X",IF(AND(A8&lt;&gt;"",H8&lt;&gt;"Eliminar",F8="-",T8&lt;&gt;0,J8+K8+L8+O8+P8+Q8=0),IF(OR(I8="ALI",I8="AIE"),"Baixo","Médio"),IF(AND(OR(M8="-",R8="-"),OR(H8="Criar",F8="-",AND(H8="Eliminar",J8+K8+L8+O8+P8+Q8&lt;&gt;0))),"-",IF(OR(H8="Perfectiva",H8="Eliminar",H8="Somente teste",H8="Teste + Plano"),F8,IF(OR(I8="ALI",I8="AIE"),IF(M8=0,"-",VLOOKUP(M8,{1,"Baixo","Baixo","Médio";2,"Baixo","Médio","Alto";6,"Médio","Alto","Alto"},MATCH(R8,{1,20,51})+1)),IF(I8="EE",VLOOKUP(M8,{0,"Baixo","Baixo","Médio";2,"Baixo","Médio","Alto";3,"Médio","Alto","Alto"},MATCH(R8,{1,5,16})+1),IF(OR(I8="SE",I8="CE"),IF(AND(M8=0,I8="CE"),IF(OR(H8="Perfectiva",H8="Eliminar",H8="Somente teste",H8="Teste + Plano",H8="Modificar"),F8,"-"),VLOOKUP(M8,{0,"Baixo","Baixo","Médio";2,"Baixo","Médio","Alto";4,"Médio","Alto","Alto"},MATCH(R8,{1,6,20})+1)),)))))))))</f>
        <v>Médio</v>
      </c>
      <c r="V8" s="14">
        <f>IF(OR(T8="-",U8="-",OR(AND(OR(I8="-",I8=""),OR(H8="Modificar",H8="Dados de Código")))),"-",IF(H8="Eliminar",G8*T8,IF(AND(OR(H8="Teste + Plano",H8="Somente teste"),F8&lt;&gt;"-"),(G8*0.5)*T8,T8*VLOOKUP(I8,{"ALI",7,10,15;"AIE",5,7,10;"EE",3,4,6;"SE",4,5,7;"CE",3,4,6},MATCH(U8,{"Baixo","Médio","Alto"},0)+1,FALSE))))</f>
        <v>5</v>
      </c>
      <c r="W8" s="15" t="s">
        <v>32</v>
      </c>
      <c r="X8" s="40"/>
      <c r="Y8" s="40"/>
      <c r="Z8" s="40"/>
      <c r="AA8" s="40"/>
      <c r="AB8" s="40"/>
      <c r="AC8" s="40"/>
      <c r="AD8" s="8"/>
      <c r="AE8" s="8"/>
    </row>
    <row r="9" spans="1:31" ht="39.950000000000003" customHeight="1" x14ac:dyDescent="0.2">
      <c r="A9" s="9" t="s">
        <v>161</v>
      </c>
      <c r="B9" s="9" t="s">
        <v>88</v>
      </c>
      <c r="C9" s="10" t="s">
        <v>70</v>
      </c>
      <c r="D9" s="11"/>
      <c r="E9" s="11"/>
      <c r="F9" s="12" t="str">
        <f>IF(OR(TRIM(A9)="",AND(E9=0,D9&lt;&gt;0)),"-",IF(AND(OR(C9="EE",C9="CE",C9="SE"),D9=0,E9=0), "Médio", IF(AND(OR(C9="ALI",C9="AIE"),D9=0,E9=0),"Baixo",IF(OR(C9="ALI",C9="AIE"),IF(D9=0,"-",VLOOKUP(D9,{1,"Baixo","Baixo","Médio";2,"Baixo","Médio","Alto";6,"Médio","Alto","Alto"},MATCH(E9,{1,20,51})+1)),IF(C9="EE",VLOOKUP(D9,{0,"Baixo","Baixo","Médio";2,"Baixo","Médio","Alto";3,"Médio","Alto","Alto"},MATCH(E9,{1,5,16})+1),IF(OR(C9="SE",C9="CE"),IF(AND(D9=0,C9="CE"),"-",VLOOKUP(D9,{0,"Baixo","Baixo","Médio";2,"Baixo","Médio","Alto";4,"Médio","Alto","Alto"},MATCH(E9,{1,6,20})+1)),"-"))))))</f>
        <v>-</v>
      </c>
      <c r="G9" s="13" t="str">
        <f>IF(F9="-","-",VLOOKUP(C9,{"ALI",7,10,15;"AIE",5,7,10;"EE",3,4,6;"SE",4,5,7;"CE",3,4,6},MATCH(F9,{"Baixo","Médio","Alto"},0)+1,FALSE))</f>
        <v>-</v>
      </c>
      <c r="H9" s="11" t="s">
        <v>77</v>
      </c>
      <c r="I9" s="15" t="s">
        <v>73</v>
      </c>
      <c r="J9" s="11"/>
      <c r="K9" s="11"/>
      <c r="L9" s="11"/>
      <c r="M9" s="12">
        <f t="shared" si="4"/>
        <v>0</v>
      </c>
      <c r="N9" s="13" t="str">
        <f t="shared" si="5"/>
        <v>-</v>
      </c>
      <c r="O9" s="11"/>
      <c r="P9" s="11"/>
      <c r="Q9" s="11"/>
      <c r="R9" s="12" t="str">
        <f t="shared" si="6"/>
        <v>-</v>
      </c>
      <c r="S9" s="13" t="str">
        <f t="shared" si="7"/>
        <v>-</v>
      </c>
      <c r="T9" s="14">
        <f>IF(AND(H9="Modificar",SUM(J9:R9)=0),0.25,IF(AND(H9="Dados de Código",AND(D9+E9=0,OR(C9="-",C9=""))),0.1,IF(H9="Eliminar",0.4,IF(H9="Perfectiva",0.3,IF(H9="Somente teste",0.15,IF(H9="Teste + Plano",0.2,IF(H9="Criar",1,IF(OR(AND(H9&lt;&gt;"Modificar",H9&lt;&gt;"Dados de Código"),M9="-",S9="-"),"-",IF(OR(I9="ALI",I9="AIE"),IF(LEFT(C9)&lt;&gt;"A","-",IF(AND(SUM(J9:L9)=0,SUM(O9:Q9)=0),IF(C9&lt;&gt;I9,0.4,"-"),IF(H9="Modificar",HLOOKUP(S9,{0,34,68,101;0.25,0.5,0.75,1},2),HLOOKUP(S9,{0,34,68,101;0.25,0.5,0.75,1},2)*0.1))),IF(OR(AND(I9&lt;&gt;"EE",I9&lt;&gt;"SE",I9&lt;&gt;"CE"),N9="-"),"-", IF(H9="Modificar",VLOOKUP(N9,{0,0.25,0.5,0.75;34,0.5,0.75,1;68,0.75,1,1;101,1,1,1},MATCH(S9,{0,68,101})+1),VLOOKUP(N9,{0,0.25,0.5,0.75;34,0.5,0.75,1;68,0.75,1,1;101,1,1,1},MATCH(S9,{0,68,101})+1)*0.1)))))))))))</f>
        <v>1</v>
      </c>
      <c r="U9" s="14" t="str">
        <f>IF(AND(H9="Modificar",D9+E9=0),F9,IF(OR(T9="-",AND(OR(H9="Perfectiva",H9="Somente teste",H9="Teste + Plano"),F9="-",I9=""),AND(H9="Eliminar",AND(C9&lt;&gt;I9,I9&lt;&gt;"-",I9&lt;&gt;""))),"-",IF(AND(H9="Criar",OR(AND(C9&lt;&gt;"",C9&lt;&gt;"-"),F9&lt;&gt;"-",I9="")),"X",IF(AND(A9&lt;&gt;"",H9&lt;&gt;"Eliminar",F9="-",T9&lt;&gt;0,J9+K9+L9+O9+P9+Q9=0),IF(OR(I9="ALI",I9="AIE"),"Baixo","Médio"),IF(AND(OR(M9="-",R9="-"),OR(H9="Criar",F9="-",AND(H9="Eliminar",J9+K9+L9+O9+P9+Q9&lt;&gt;0))),"-",IF(OR(H9="Perfectiva",H9="Eliminar",H9="Somente teste",H9="Teste + Plano"),F9,IF(OR(I9="ALI",I9="AIE"),IF(M9=0,"-",VLOOKUP(M9,{1,"Baixo","Baixo","Médio";2,"Baixo","Médio","Alto";6,"Médio","Alto","Alto"},MATCH(R9,{1,20,51})+1)),IF(I9="EE",VLOOKUP(M9,{0,"Baixo","Baixo","Médio";2,"Baixo","Médio","Alto";3,"Médio","Alto","Alto"},MATCH(R9,{1,5,16})+1),IF(OR(I9="SE",I9="CE"),IF(AND(M9=0,I9="CE"),IF(OR(H9="Perfectiva",H9="Eliminar",H9="Somente teste",H9="Teste + Plano",H9="Modificar"),F9,"-"),VLOOKUP(M9,{0,"Baixo","Baixo","Médio";2,"Baixo","Médio","Alto";4,"Médio","Alto","Alto"},MATCH(R9,{1,6,20})+1)),)))))))))</f>
        <v>Médio</v>
      </c>
      <c r="V9" s="14">
        <f>IF(OR(T9="-",U9="-",OR(AND(OR(I9="-",I9=""),OR(H9="Modificar",H9="Dados de Código")))),"-",IF(H9="Eliminar",G9*T9,IF(AND(OR(H9="Teste + Plano",H9="Somente teste"),F9&lt;&gt;"-"),(G9*0.5)*T9,T9*VLOOKUP(I9,{"ALI",7,10,15;"AIE",5,7,10;"EE",3,4,6;"SE",4,5,7;"CE",3,4,6},MATCH(U9,{"Baixo","Médio","Alto"},0)+1,FALSE))))</f>
        <v>5</v>
      </c>
      <c r="W9" s="15" t="s">
        <v>32</v>
      </c>
      <c r="X9" s="40"/>
      <c r="Y9" s="40"/>
      <c r="Z9" s="40"/>
      <c r="AA9" s="40"/>
      <c r="AB9" s="40"/>
      <c r="AC9" s="40"/>
      <c r="AD9" s="8"/>
      <c r="AE9" s="8"/>
    </row>
    <row r="10" spans="1:31" ht="39.950000000000003" customHeight="1" x14ac:dyDescent="0.2">
      <c r="A10" s="9" t="s">
        <v>160</v>
      </c>
      <c r="B10" s="9" t="s">
        <v>88</v>
      </c>
      <c r="C10" s="10" t="s">
        <v>70</v>
      </c>
      <c r="D10" s="11"/>
      <c r="E10" s="11"/>
      <c r="F10" s="12" t="str">
        <f>IF(OR(TRIM(A10)="",AND(E10=0,D10&lt;&gt;0)),"-",IF(AND(OR(C10="EE",C10="CE",C10="SE"),D10=0,E10=0), "Médio", IF(AND(OR(C10="ALI",C10="AIE"),D10=0,E10=0),"Baixo",IF(OR(C10="ALI",C10="AIE"),IF(D10=0,"-",VLOOKUP(D10,{1,"Baixo","Baixo","Médio";2,"Baixo","Médio","Alto";6,"Médio","Alto","Alto"},MATCH(E10,{1,20,51})+1)),IF(C10="EE",VLOOKUP(D10,{0,"Baixo","Baixo","Médio";2,"Baixo","Médio","Alto";3,"Médio","Alto","Alto"},MATCH(E10,{1,5,16})+1),IF(OR(C10="SE",C10="CE"),IF(AND(D10=0,C10="CE"),"-",VLOOKUP(D10,{0,"Baixo","Baixo","Médio";2,"Baixo","Médio","Alto";4,"Médio","Alto","Alto"},MATCH(E10,{1,6,20})+1)),"-"))))))</f>
        <v>-</v>
      </c>
      <c r="G10" s="13" t="str">
        <f>IF(F10="-","-",VLOOKUP(C10,{"ALI",7,10,15;"AIE",5,7,10;"EE",3,4,6;"SE",4,5,7;"CE",3,4,6},MATCH(F10,{"Baixo","Médio","Alto"},0)+1,FALSE))</f>
        <v>-</v>
      </c>
      <c r="H10" s="11" t="s">
        <v>77</v>
      </c>
      <c r="I10" s="15" t="s">
        <v>73</v>
      </c>
      <c r="J10" s="11"/>
      <c r="K10" s="11"/>
      <c r="L10" s="11"/>
      <c r="M10" s="12">
        <f t="shared" si="4"/>
        <v>0</v>
      </c>
      <c r="N10" s="13" t="str">
        <f t="shared" si="5"/>
        <v>-</v>
      </c>
      <c r="O10" s="11"/>
      <c r="P10" s="11"/>
      <c r="Q10" s="11"/>
      <c r="R10" s="12" t="str">
        <f t="shared" si="6"/>
        <v>-</v>
      </c>
      <c r="S10" s="13" t="str">
        <f t="shared" si="7"/>
        <v>-</v>
      </c>
      <c r="T10" s="14">
        <f>IF(AND(H10="Modificar",SUM(J10:R10)=0),0.25,IF(AND(H10="Dados de Código",AND(D10+E10=0,OR(C10="-",C10=""))),0.1,IF(H10="Eliminar",0.4,IF(H10="Perfectiva",0.3,IF(H10="Somente teste",0.15,IF(H10="Teste + Plano",0.2,IF(H10="Criar",1,IF(OR(AND(H10&lt;&gt;"Modificar",H10&lt;&gt;"Dados de Código"),M10="-",S10="-"),"-",IF(OR(I10="ALI",I10="AIE"),IF(LEFT(C10)&lt;&gt;"A","-",IF(AND(SUM(J10:L10)=0,SUM(O10:Q10)=0),IF(C10&lt;&gt;I10,0.4,"-"),IF(H10="Modificar",HLOOKUP(S10,{0,34,68,101;0.25,0.5,0.75,1},2),HLOOKUP(S10,{0,34,68,101;0.25,0.5,0.75,1},2)*0.1))),IF(OR(AND(I10&lt;&gt;"EE",I10&lt;&gt;"SE",I10&lt;&gt;"CE"),N10="-"),"-", IF(H10="Modificar",VLOOKUP(N10,{0,0.25,0.5,0.75;34,0.5,0.75,1;68,0.75,1,1;101,1,1,1},MATCH(S10,{0,68,101})+1),VLOOKUP(N10,{0,0.25,0.5,0.75;34,0.5,0.75,1;68,0.75,1,1;101,1,1,1},MATCH(S10,{0,68,101})+1)*0.1)))))))))))</f>
        <v>1</v>
      </c>
      <c r="U10" s="14" t="str">
        <f>IF(AND(H10="Modificar",D10+E10=0),F10,IF(OR(T10="-",AND(OR(H10="Perfectiva",H10="Somente teste",H10="Teste + Plano"),F10="-",I10=""),AND(H10="Eliminar",AND(C10&lt;&gt;I10,I10&lt;&gt;"-",I10&lt;&gt;""))),"-",IF(AND(H10="Criar",OR(AND(C10&lt;&gt;"",C10&lt;&gt;"-"),F10&lt;&gt;"-",I10="")),"X",IF(AND(A10&lt;&gt;"",H10&lt;&gt;"Eliminar",F10="-",T10&lt;&gt;0,J10+K10+L10+O10+P10+Q10=0),IF(OR(I10="ALI",I10="AIE"),"Baixo","Médio"),IF(AND(OR(M10="-",R10="-"),OR(H10="Criar",F10="-",AND(H10="Eliminar",J10+K10+L10+O10+P10+Q10&lt;&gt;0))),"-",IF(OR(H10="Perfectiva",H10="Eliminar",H10="Somente teste",H10="Teste + Plano"),F10,IF(OR(I10="ALI",I10="AIE"),IF(M10=0,"-",VLOOKUP(M10,{1,"Baixo","Baixo","Médio";2,"Baixo","Médio","Alto";6,"Médio","Alto","Alto"},MATCH(R10,{1,20,51})+1)),IF(I10="EE",VLOOKUP(M10,{0,"Baixo","Baixo","Médio";2,"Baixo","Médio","Alto";3,"Médio","Alto","Alto"},MATCH(R10,{1,5,16})+1),IF(OR(I10="SE",I10="CE"),IF(AND(M10=0,I10="CE"),IF(OR(H10="Perfectiva",H10="Eliminar",H10="Somente teste",H10="Teste + Plano",H10="Modificar"),F10,"-"),VLOOKUP(M10,{0,"Baixo","Baixo","Médio";2,"Baixo","Médio","Alto";4,"Médio","Alto","Alto"},MATCH(R10,{1,6,20})+1)),)))))))))</f>
        <v>Médio</v>
      </c>
      <c r="V10" s="14">
        <f>IF(OR(T10="-",U10="-",OR(AND(OR(I10="-",I10=""),OR(H10="Modificar",H10="Dados de Código")))),"-",IF(H10="Eliminar",G10*T10,IF(AND(OR(H10="Teste + Plano",H10="Somente teste"),F10&lt;&gt;"-"),(G10*0.5)*T10,T10*VLOOKUP(I10,{"ALI",7,10,15;"AIE",5,7,10;"EE",3,4,6;"SE",4,5,7;"CE",3,4,6},MATCH(U10,{"Baixo","Médio","Alto"},0)+1,FALSE))))</f>
        <v>5</v>
      </c>
      <c r="W10" s="15" t="s">
        <v>32</v>
      </c>
      <c r="X10" s="40"/>
      <c r="Y10" s="40"/>
      <c r="Z10" s="40"/>
      <c r="AA10" s="40"/>
      <c r="AB10" s="40"/>
      <c r="AC10" s="40"/>
      <c r="AD10" s="8"/>
      <c r="AE10" s="8"/>
    </row>
    <row r="11" spans="1:31" ht="39.950000000000003" customHeight="1" x14ac:dyDescent="0.2">
      <c r="A11" s="9" t="s">
        <v>92</v>
      </c>
      <c r="B11" s="9" t="s">
        <v>88</v>
      </c>
      <c r="C11" s="10"/>
      <c r="D11" s="11"/>
      <c r="E11" s="11"/>
      <c r="F11" s="12" t="str">
        <f>IF(OR(TRIM(A11)="",AND(E11=0,D11&lt;&gt;0)),"-",IF(AND(OR(C11="EE",C11="CE",C11="SE"),D11=0,E11=0), "Médio", IF(AND(OR(C11="ALI",C11="AIE"),D11=0,E11=0),"Baixo",IF(OR(C11="ALI",C11="AIE"),IF(D11=0,"-",VLOOKUP(D11,{1,"Baixo","Baixo","Médio";2,"Baixo","Médio","Alto";6,"Médio","Alto","Alto"},MATCH(E11,{1,20,51})+1)),IF(C11="EE",VLOOKUP(D11,{0,"Baixo","Baixo","Médio";2,"Baixo","Médio","Alto";3,"Médio","Alto","Alto"},MATCH(E11,{1,5,16})+1),IF(OR(C11="SE",C11="CE"),IF(AND(D11=0,C11="CE"),"-",VLOOKUP(D11,{0,"Baixo","Baixo","Médio";2,"Baixo","Médio","Alto";4,"Médio","Alto","Alto"},MATCH(E11,{1,6,20})+1)),"-"))))))</f>
        <v>-</v>
      </c>
      <c r="G11" s="13" t="str">
        <f>IF(F11="-","-",VLOOKUP(C11,{"ALI",7,10,15;"AIE",5,7,10;"EE",3,4,6;"SE",4,5,7;"CE",3,4,6},MATCH(F11,{"Baixo","Médio","Alto"},0)+1,FALSE))</f>
        <v>-</v>
      </c>
      <c r="H11" s="11" t="s">
        <v>77</v>
      </c>
      <c r="I11" s="15" t="s">
        <v>73</v>
      </c>
      <c r="J11" s="11"/>
      <c r="K11" s="11"/>
      <c r="L11" s="11"/>
      <c r="M11" s="12">
        <f t="shared" ref="M11" si="8">IF(OR(TRIM(A11)="",AND(OR(D11&lt;&gt;0,G11&lt;&gt;"-"),H11="Criar"),AND(G11="-",H11&lt;&gt;"Criar",H11&lt;&gt;"Dados de Código"),AND(H11="Eliminar",OR(C11&lt;&gt;I11,SUM(J11:L11)&lt;&gt;0)),AND(OR(H11="Modificar",H11="Perfectiva",H11="Somente teste",H11="Teste + Plano"),OR(AND(OR(C11="ALI",C11="AIE"),AND(I11&lt;&gt;"ALI",I11&lt;&gt;"AIE")),AND(OR(C11="EE",C11="SE",C11="CE"),AND(I11&lt;&gt;"EE",I11&lt;&gt;"SE",I11&lt;&gt;"CE")))),(D11+J11-L11)&lt;0,(D11-K11-L11)&lt;0,AND((D11+J11-L11)=0,I11&lt;&gt;"EE",I11&lt;&gt;"SE")),"-",IF(AND(H11&lt;&gt;"Perfectiva",H11&lt;&gt;"Somente teste",H11&lt;&gt;"Teste + Plano"),D11+J11-L11,D11))</f>
        <v>0</v>
      </c>
      <c r="N11" s="13" t="str">
        <f t="shared" ref="N11" si="9">IF(OR(M11="-",AND(H11&lt;&gt;"Modificar",H11&lt;&gt;"Dados de Código"),AND(H11="Dados de Código",OR(F11="-",D11+E11=0)),AND(I11&lt;&gt;"EE",I11&lt;&gt;"SE",I11&lt;&gt;"CE")),"-",IF(D11=0,IF(M11=0,0,100),INT(SUM(J11:L11)/D11*100)))</f>
        <v>-</v>
      </c>
      <c r="O11" s="11"/>
      <c r="P11" s="11"/>
      <c r="Q11" s="11"/>
      <c r="R11" s="12" t="str">
        <f t="shared" ref="R11" si="10">IF(OR(TRIM(A11)="",AND(OR(G11&lt;&gt;"-",E11&lt;&gt;0),H11="Criar"),AND(OR(G11="-", D11+E11=0),H11&lt;&gt;"Criar",H11&lt;&gt;"Dados de Código"), AND(H11="Eliminar",OR(C11&lt;&gt;I11,SUM(O11:Q11)&lt;&gt;0)),AND(OR(H11="Modificar",H11="Perfectiva",H11="Somente teste",H11="Teste + Plano"),OR(AND(OR(C11="ALI",C11="AIE"),AND(I11&lt;&gt;"ALI",I11&lt;&gt;"AIE")),AND(OR(C11="EE",C11="SE",C11="CE"),AND(I11&lt;&gt;"EE",I11&lt;&gt;"SE",I11&lt;&gt;"CE")))),(E11+O11-Q11)&lt;=0,(E11-P11-Q11)&lt;0),"-",IF(AND(H11&lt;&gt;"Perfectiva",H11&lt;&gt;"Somente teste",H11&lt;&gt;"Teste + Plano"),E11+O11-Q11,E11))</f>
        <v>-</v>
      </c>
      <c r="S11" s="13" t="str">
        <f t="shared" ref="S11" si="11">IF(OR(R11="-",AND(H11&lt;&gt;"Modificar",H11&lt;&gt;"Dados de Código"),AND(H11="Dados de Código",OR(F11="-",D11+E11=0))),"-",INT(SUM(O11:Q11)/E11*100))</f>
        <v>-</v>
      </c>
      <c r="T11" s="14">
        <f>IF(AND(H11="Modificar",SUM(J11:R11)=0),0.25,IF(AND(H11="Dados de Código",AND(D11+E11=0,OR(C11="-",C11=""))),0.1,IF(H11="Eliminar",0.4,IF(H11="Perfectiva",0.3,IF(H11="Somente teste",0.15,IF(H11="Teste + Plano",0.2,IF(H11="Criar",1,IF(OR(AND(H11&lt;&gt;"Modificar",H11&lt;&gt;"Dados de Código"),M11="-",S11="-"),"-",IF(OR(I11="ALI",I11="AIE"),IF(LEFT(C11)&lt;&gt;"A","-",IF(AND(SUM(J11:L11)=0,SUM(O11:Q11)=0),IF(C11&lt;&gt;I11,0.4,"-"),IF(H11="Modificar",HLOOKUP(S11,{0,34,68,101;0.25,0.5,0.75,1},2),HLOOKUP(S11,{0,34,68,101;0.25,0.5,0.75,1},2)*0.1))),IF(OR(AND(I11&lt;&gt;"EE",I11&lt;&gt;"SE",I11&lt;&gt;"CE"),N11="-"),"-", IF(H11="Modificar",VLOOKUP(N11,{0,0.25,0.5,0.75;34,0.5,0.75,1;68,0.75,1,1;101,1,1,1},MATCH(S11,{0,68,101})+1),VLOOKUP(N11,{0,0.25,0.5,0.75;34,0.5,0.75,1;68,0.75,1,1;101,1,1,1},MATCH(S11,{0,68,101})+1)*0.1)))))))))))</f>
        <v>1</v>
      </c>
      <c r="U11" s="14" t="str">
        <f>IF(AND(H11="Modificar",D11+E11=0),F11,IF(OR(T11="-",AND(OR(H11="Perfectiva",H11="Somente teste",H11="Teste + Plano"),F11="-",I11=""),AND(H11="Eliminar",AND(C11&lt;&gt;I11,I11&lt;&gt;"-",I11&lt;&gt;""))),"-",IF(AND(H11="Criar",OR(AND(C11&lt;&gt;"",C11&lt;&gt;"-"),F11&lt;&gt;"-",I11="")),"X",IF(AND(A11&lt;&gt;"",H11&lt;&gt;"Eliminar",F11="-",T11&lt;&gt;0,J11+K11+L11+O11+P11+Q11=0),IF(OR(I11="ALI",I11="AIE"),"Baixo","Médio"),IF(AND(OR(M11="-",R11="-"),OR(H11="Criar",F11="-",AND(H11="Eliminar",J11+K11+L11+O11+P11+Q11&lt;&gt;0))),"-",IF(OR(H11="Perfectiva",H11="Eliminar",H11="Somente teste",H11="Teste + Plano"),F11,IF(OR(I11="ALI",I11="AIE"),IF(M11=0,"-",VLOOKUP(M11,{1,"Baixo","Baixo","Médio";2,"Baixo","Médio","Alto";6,"Médio","Alto","Alto"},MATCH(R11,{1,20,51})+1)),IF(I11="EE",VLOOKUP(M11,{0,"Baixo","Baixo","Médio";2,"Baixo","Médio","Alto";3,"Médio","Alto","Alto"},MATCH(R11,{1,5,16})+1),IF(OR(I11="SE",I11="CE"),IF(AND(M11=0,I11="CE"),IF(OR(H11="Perfectiva",H11="Eliminar",H11="Somente teste",H11="Teste + Plano",H11="Modificar"),F11,"-"),VLOOKUP(M11,{0,"Baixo","Baixo","Médio";2,"Baixo","Médio","Alto";4,"Médio","Alto","Alto"},MATCH(R11,{1,6,20})+1)),)))))))))</f>
        <v>Médio</v>
      </c>
      <c r="V11" s="14">
        <f>IF(OR(T11="-",U11="-",OR(AND(OR(I11="-",I11=""),OR(H11="Modificar",H11="Dados de Código")))),"-",IF(H11="Eliminar",G11*T11,IF(AND(OR(H11="Teste + Plano",H11="Somente teste"),F11&lt;&gt;"-"),(G11*0.5)*T11,T11*VLOOKUP(I11,{"ALI",7,10,15;"AIE",5,7,10;"EE",3,4,6;"SE",4,5,7;"CE",3,4,6},MATCH(U11,{"Baixo","Médio","Alto"},0)+1,FALSE))))</f>
        <v>5</v>
      </c>
      <c r="W11" s="15" t="s">
        <v>32</v>
      </c>
      <c r="X11" s="40"/>
      <c r="Y11" s="40"/>
      <c r="Z11" s="40"/>
      <c r="AA11" s="40"/>
      <c r="AB11" s="40"/>
      <c r="AC11" s="40"/>
      <c r="AD11" s="8"/>
      <c r="AE11" s="8"/>
    </row>
    <row r="12" spans="1:31" ht="39.950000000000003" customHeight="1" x14ac:dyDescent="0.2">
      <c r="A12" s="9" t="s">
        <v>93</v>
      </c>
      <c r="B12" s="9" t="s">
        <v>88</v>
      </c>
      <c r="C12" s="10"/>
      <c r="D12" s="11"/>
      <c r="E12" s="11"/>
      <c r="F12" s="12" t="str">
        <f>IF(OR(TRIM(A12)="",AND(E12=0,D12&lt;&gt;0)),"-",IF(AND(OR(C12="EE",C12="CE",C12="SE"),D12=0,E12=0), "Médio", IF(AND(OR(C12="ALI",C12="AIE"),D12=0,E12=0),"Baixo",IF(OR(C12="ALI",C12="AIE"),IF(D12=0,"-",VLOOKUP(D12,{1,"Baixo","Baixo","Médio";2,"Baixo","Médio","Alto";6,"Médio","Alto","Alto"},MATCH(E12,{1,20,51})+1)),IF(C12="EE",VLOOKUP(D12,{0,"Baixo","Baixo","Médio";2,"Baixo","Médio","Alto";3,"Médio","Alto","Alto"},MATCH(E12,{1,5,16})+1),IF(OR(C12="SE",C12="CE"),IF(AND(D12=0,C12="CE"),"-",VLOOKUP(D12,{0,"Baixo","Baixo","Médio";2,"Baixo","Médio","Alto";4,"Médio","Alto","Alto"},MATCH(E12,{1,6,20})+1)),"-"))))))</f>
        <v>-</v>
      </c>
      <c r="G12" s="13" t="str">
        <f>IF(F12="-","-",VLOOKUP(C12,{"ALI",7,10,15;"AIE",5,7,10;"EE",3,4,6;"SE",4,5,7;"CE",3,4,6},MATCH(F12,{"Baixo","Médio","Alto"},0)+1,FALSE))</f>
        <v>-</v>
      </c>
      <c r="H12" s="11" t="s">
        <v>77</v>
      </c>
      <c r="I12" s="15" t="s">
        <v>73</v>
      </c>
      <c r="J12" s="11"/>
      <c r="K12" s="11"/>
      <c r="L12" s="11"/>
      <c r="M12" s="12">
        <f t="shared" ref="M12" si="12">IF(OR(TRIM(A12)="",AND(OR(D12&lt;&gt;0,G12&lt;&gt;"-"),H12="Criar"),AND(G12="-",H12&lt;&gt;"Criar",H12&lt;&gt;"Dados de Código"),AND(H12="Eliminar",OR(C12&lt;&gt;I12,SUM(J12:L12)&lt;&gt;0)),AND(OR(H12="Modificar",H12="Perfectiva",H12="Somente teste",H12="Teste + Plano"),OR(AND(OR(C12="ALI",C12="AIE"),AND(I12&lt;&gt;"ALI",I12&lt;&gt;"AIE")),AND(OR(C12="EE",C12="SE",C12="CE"),AND(I12&lt;&gt;"EE",I12&lt;&gt;"SE",I12&lt;&gt;"CE")))),(D12+J12-L12)&lt;0,(D12-K12-L12)&lt;0,AND((D12+J12-L12)=0,I12&lt;&gt;"EE",I12&lt;&gt;"SE")),"-",IF(AND(H12&lt;&gt;"Perfectiva",H12&lt;&gt;"Somente teste",H12&lt;&gt;"Teste + Plano"),D12+J12-L12,D12))</f>
        <v>0</v>
      </c>
      <c r="N12" s="13" t="str">
        <f t="shared" ref="N12" si="13">IF(OR(M12="-",AND(H12&lt;&gt;"Modificar",H12&lt;&gt;"Dados de Código"),AND(H12="Dados de Código",OR(F12="-",D12+E12=0)),AND(I12&lt;&gt;"EE",I12&lt;&gt;"SE",I12&lt;&gt;"CE")),"-",IF(D12=0,IF(M12=0,0,100),INT(SUM(J12:L12)/D12*100)))</f>
        <v>-</v>
      </c>
      <c r="O12" s="11"/>
      <c r="P12" s="11"/>
      <c r="Q12" s="11"/>
      <c r="R12" s="12" t="str">
        <f t="shared" ref="R12" si="14">IF(OR(TRIM(A12)="",AND(OR(G12&lt;&gt;"-",E12&lt;&gt;0),H12="Criar"),AND(OR(G12="-", D12+E12=0),H12&lt;&gt;"Criar",H12&lt;&gt;"Dados de Código"), AND(H12="Eliminar",OR(C12&lt;&gt;I12,SUM(O12:Q12)&lt;&gt;0)),AND(OR(H12="Modificar",H12="Perfectiva",H12="Somente teste",H12="Teste + Plano"),OR(AND(OR(C12="ALI",C12="AIE"),AND(I12&lt;&gt;"ALI",I12&lt;&gt;"AIE")),AND(OR(C12="EE",C12="SE",C12="CE"),AND(I12&lt;&gt;"EE",I12&lt;&gt;"SE",I12&lt;&gt;"CE")))),(E12+O12-Q12)&lt;=0,(E12-P12-Q12)&lt;0),"-",IF(AND(H12&lt;&gt;"Perfectiva",H12&lt;&gt;"Somente teste",H12&lt;&gt;"Teste + Plano"),E12+O12-Q12,E12))</f>
        <v>-</v>
      </c>
      <c r="S12" s="13" t="str">
        <f t="shared" ref="S12" si="15">IF(OR(R12="-",AND(H12&lt;&gt;"Modificar",H12&lt;&gt;"Dados de Código"),AND(H12="Dados de Código",OR(F12="-",D12+E12=0))),"-",INT(SUM(O12:Q12)/E12*100))</f>
        <v>-</v>
      </c>
      <c r="T12" s="14">
        <f>IF(AND(H12="Modificar",SUM(J12:R12)=0),0.25,IF(AND(H12="Dados de Código",AND(D12+E12=0,OR(C12="-",C12=""))),0.1,IF(H12="Eliminar",0.4,IF(H12="Perfectiva",0.3,IF(H12="Somente teste",0.15,IF(H12="Teste + Plano",0.2,IF(H12="Criar",1,IF(OR(AND(H12&lt;&gt;"Modificar",H12&lt;&gt;"Dados de Código"),M12="-",S12="-"),"-",IF(OR(I12="ALI",I12="AIE"),IF(LEFT(C12)&lt;&gt;"A","-",IF(AND(SUM(J12:L12)=0,SUM(O12:Q12)=0),IF(C12&lt;&gt;I12,0.4,"-"),IF(H12="Modificar",HLOOKUP(S12,{0,34,68,101;0.25,0.5,0.75,1},2),HLOOKUP(S12,{0,34,68,101;0.25,0.5,0.75,1},2)*0.1))),IF(OR(AND(I12&lt;&gt;"EE",I12&lt;&gt;"SE",I12&lt;&gt;"CE"),N12="-"),"-", IF(H12="Modificar",VLOOKUP(N12,{0,0.25,0.5,0.75;34,0.5,0.75,1;68,0.75,1,1;101,1,1,1},MATCH(S12,{0,68,101})+1),VLOOKUP(N12,{0,0.25,0.5,0.75;34,0.5,0.75,1;68,0.75,1,1;101,1,1,1},MATCH(S12,{0,68,101})+1)*0.1)))))))))))</f>
        <v>1</v>
      </c>
      <c r="U12" s="14" t="str">
        <f>IF(AND(H12="Modificar",D12+E12=0),F12,IF(OR(T12="-",AND(OR(H12="Perfectiva",H12="Somente teste",H12="Teste + Plano"),F12="-",I12=""),AND(H12="Eliminar",AND(C12&lt;&gt;I12,I12&lt;&gt;"-",I12&lt;&gt;""))),"-",IF(AND(H12="Criar",OR(AND(C12&lt;&gt;"",C12&lt;&gt;"-"),F12&lt;&gt;"-",I12="")),"X",IF(AND(A12&lt;&gt;"",H12&lt;&gt;"Eliminar",F12="-",T12&lt;&gt;0,J12+K12+L12+O12+P12+Q12=0),IF(OR(I12="ALI",I12="AIE"),"Baixo","Médio"),IF(AND(OR(M12="-",R12="-"),OR(H12="Criar",F12="-",AND(H12="Eliminar",J12+K12+L12+O12+P12+Q12&lt;&gt;0))),"-",IF(OR(H12="Perfectiva",H12="Eliminar",H12="Somente teste",H12="Teste + Plano"),F12,IF(OR(I12="ALI",I12="AIE"),IF(M12=0,"-",VLOOKUP(M12,{1,"Baixo","Baixo","Médio";2,"Baixo","Médio","Alto";6,"Médio","Alto","Alto"},MATCH(R12,{1,20,51})+1)),IF(I12="EE",VLOOKUP(M12,{0,"Baixo","Baixo","Médio";2,"Baixo","Médio","Alto";3,"Médio","Alto","Alto"},MATCH(R12,{1,5,16})+1),IF(OR(I12="SE",I12="CE"),IF(AND(M12=0,I12="CE"),IF(OR(H12="Perfectiva",H12="Eliminar",H12="Somente teste",H12="Teste + Plano",H12="Modificar"),F12,"-"),VLOOKUP(M12,{0,"Baixo","Baixo","Médio";2,"Baixo","Médio","Alto";4,"Médio","Alto","Alto"},MATCH(R12,{1,6,20})+1)),)))))))))</f>
        <v>Médio</v>
      </c>
      <c r="V12" s="14">
        <f>IF(OR(T12="-",U12="-",OR(AND(OR(I12="-",I12=""),OR(H12="Modificar",H12="Dados de Código")))),"-",IF(H12="Eliminar",G12*T12,IF(AND(OR(H12="Teste + Plano",H12="Somente teste"),F12&lt;&gt;"-"),(G12*0.5)*T12,T12*VLOOKUP(I12,{"ALI",7,10,15;"AIE",5,7,10;"EE",3,4,6;"SE",4,5,7;"CE",3,4,6},MATCH(U12,{"Baixo","Médio","Alto"},0)+1,FALSE))))</f>
        <v>5</v>
      </c>
      <c r="W12" s="15" t="s">
        <v>32</v>
      </c>
      <c r="X12" s="40"/>
      <c r="Y12" s="40"/>
      <c r="Z12" s="40"/>
      <c r="AA12" s="40"/>
      <c r="AB12" s="40"/>
      <c r="AC12" s="40"/>
      <c r="AD12" s="8"/>
      <c r="AE12" s="8"/>
    </row>
    <row r="13" spans="1:31" ht="39.950000000000003" customHeight="1" x14ac:dyDescent="0.2">
      <c r="A13" s="9" t="s">
        <v>94</v>
      </c>
      <c r="B13" s="9" t="s">
        <v>88</v>
      </c>
      <c r="C13" s="10"/>
      <c r="D13" s="11"/>
      <c r="E13" s="11"/>
      <c r="F13" s="12" t="str">
        <f>IF(OR(TRIM(A13)="",AND(E13=0,D13&lt;&gt;0)),"-",IF(AND(OR(C13="EE",C13="CE",C13="SE"),D13=0,E13=0), "Médio", IF(AND(OR(C13="ALI",C13="AIE"),D13=0,E13=0),"Baixo",IF(OR(C13="ALI",C13="AIE"),IF(D13=0,"-",VLOOKUP(D13,{1,"Baixo","Baixo","Médio";2,"Baixo","Médio","Alto";6,"Médio","Alto","Alto"},MATCH(E13,{1,20,51})+1)),IF(C13="EE",VLOOKUP(D13,{0,"Baixo","Baixo","Médio";2,"Baixo","Médio","Alto";3,"Médio","Alto","Alto"},MATCH(E13,{1,5,16})+1),IF(OR(C13="SE",C13="CE"),IF(AND(D13=0,C13="CE"),"-",VLOOKUP(D13,{0,"Baixo","Baixo","Médio";2,"Baixo","Médio","Alto";4,"Médio","Alto","Alto"},MATCH(E13,{1,6,20})+1)),"-"))))))</f>
        <v>-</v>
      </c>
      <c r="G13" s="13" t="str">
        <f>IF(F13="-","-",VLOOKUP(C13,{"ALI",7,10,15;"AIE",5,7,10;"EE",3,4,6;"SE",4,5,7;"CE",3,4,6},MATCH(F13,{"Baixo","Médio","Alto"},0)+1,FALSE))</f>
        <v>-</v>
      </c>
      <c r="H13" s="11" t="s">
        <v>77</v>
      </c>
      <c r="I13" s="15" t="s">
        <v>73</v>
      </c>
      <c r="J13" s="11"/>
      <c r="K13" s="11"/>
      <c r="L13" s="11"/>
      <c r="M13" s="12">
        <f t="shared" ref="M13" si="16">IF(OR(TRIM(A13)="",AND(OR(D13&lt;&gt;0,G13&lt;&gt;"-"),H13="Criar"),AND(G13="-",H13&lt;&gt;"Criar",H13&lt;&gt;"Dados de Código"),AND(H13="Eliminar",OR(C13&lt;&gt;I13,SUM(J13:L13)&lt;&gt;0)),AND(OR(H13="Modificar",H13="Perfectiva",H13="Somente teste",H13="Teste + Plano"),OR(AND(OR(C13="ALI",C13="AIE"),AND(I13&lt;&gt;"ALI",I13&lt;&gt;"AIE")),AND(OR(C13="EE",C13="SE",C13="CE"),AND(I13&lt;&gt;"EE",I13&lt;&gt;"SE",I13&lt;&gt;"CE")))),(D13+J13-L13)&lt;0,(D13-K13-L13)&lt;0,AND((D13+J13-L13)=0,I13&lt;&gt;"EE",I13&lt;&gt;"SE")),"-",IF(AND(H13&lt;&gt;"Perfectiva",H13&lt;&gt;"Somente teste",H13&lt;&gt;"Teste + Plano"),D13+J13-L13,D13))</f>
        <v>0</v>
      </c>
      <c r="N13" s="13" t="str">
        <f t="shared" ref="N13" si="17">IF(OR(M13="-",AND(H13&lt;&gt;"Modificar",H13&lt;&gt;"Dados de Código"),AND(H13="Dados de Código",OR(F13="-",D13+E13=0)),AND(I13&lt;&gt;"EE",I13&lt;&gt;"SE",I13&lt;&gt;"CE")),"-",IF(D13=0,IF(M13=0,0,100),INT(SUM(J13:L13)/D13*100)))</f>
        <v>-</v>
      </c>
      <c r="O13" s="11"/>
      <c r="P13" s="11"/>
      <c r="Q13" s="11"/>
      <c r="R13" s="12" t="str">
        <f t="shared" ref="R13" si="18">IF(OR(TRIM(A13)="",AND(OR(G13&lt;&gt;"-",E13&lt;&gt;0),H13="Criar"),AND(OR(G13="-", D13+E13=0),H13&lt;&gt;"Criar",H13&lt;&gt;"Dados de Código"), AND(H13="Eliminar",OR(C13&lt;&gt;I13,SUM(O13:Q13)&lt;&gt;0)),AND(OR(H13="Modificar",H13="Perfectiva",H13="Somente teste",H13="Teste + Plano"),OR(AND(OR(C13="ALI",C13="AIE"),AND(I13&lt;&gt;"ALI",I13&lt;&gt;"AIE")),AND(OR(C13="EE",C13="SE",C13="CE"),AND(I13&lt;&gt;"EE",I13&lt;&gt;"SE",I13&lt;&gt;"CE")))),(E13+O13-Q13)&lt;=0,(E13-P13-Q13)&lt;0),"-",IF(AND(H13&lt;&gt;"Perfectiva",H13&lt;&gt;"Somente teste",H13&lt;&gt;"Teste + Plano"),E13+O13-Q13,E13))</f>
        <v>-</v>
      </c>
      <c r="S13" s="13" t="str">
        <f t="shared" ref="S13" si="19">IF(OR(R13="-",AND(H13&lt;&gt;"Modificar",H13&lt;&gt;"Dados de Código"),AND(H13="Dados de Código",OR(F13="-",D13+E13=0))),"-",INT(SUM(O13:Q13)/E13*100))</f>
        <v>-</v>
      </c>
      <c r="T13" s="14">
        <f>IF(AND(H13="Modificar",SUM(J13:R13)=0),0.25,IF(AND(H13="Dados de Código",AND(D13+E13=0,OR(C13="-",C13=""))),0.1,IF(H13="Eliminar",0.4,IF(H13="Perfectiva",0.3,IF(H13="Somente teste",0.15,IF(H13="Teste + Plano",0.2,IF(H13="Criar",1,IF(OR(AND(H13&lt;&gt;"Modificar",H13&lt;&gt;"Dados de Código"),M13="-",S13="-"),"-",IF(OR(I13="ALI",I13="AIE"),IF(LEFT(C13)&lt;&gt;"A","-",IF(AND(SUM(J13:L13)=0,SUM(O13:Q13)=0),IF(C13&lt;&gt;I13,0.4,"-"),IF(H13="Modificar",HLOOKUP(S13,{0,34,68,101;0.25,0.5,0.75,1},2),HLOOKUP(S13,{0,34,68,101;0.25,0.5,0.75,1},2)*0.1))),IF(OR(AND(I13&lt;&gt;"EE",I13&lt;&gt;"SE",I13&lt;&gt;"CE"),N13="-"),"-", IF(H13="Modificar",VLOOKUP(N13,{0,0.25,0.5,0.75;34,0.5,0.75,1;68,0.75,1,1;101,1,1,1},MATCH(S13,{0,68,101})+1),VLOOKUP(N13,{0,0.25,0.5,0.75;34,0.5,0.75,1;68,0.75,1,1;101,1,1,1},MATCH(S13,{0,68,101})+1)*0.1)))))))))))</f>
        <v>1</v>
      </c>
      <c r="U13" s="14" t="str">
        <f>IF(AND(H13="Modificar",D13+E13=0),F13,IF(OR(T13="-",AND(OR(H13="Perfectiva",H13="Somente teste",H13="Teste + Plano"),F13="-",I13=""),AND(H13="Eliminar",AND(C13&lt;&gt;I13,I13&lt;&gt;"-",I13&lt;&gt;""))),"-",IF(AND(H13="Criar",OR(AND(C13&lt;&gt;"",C13&lt;&gt;"-"),F13&lt;&gt;"-",I13="")),"X",IF(AND(A13&lt;&gt;"",H13&lt;&gt;"Eliminar",F13="-",T13&lt;&gt;0,J13+K13+L13+O13+P13+Q13=0),IF(OR(I13="ALI",I13="AIE"),"Baixo","Médio"),IF(AND(OR(M13="-",R13="-"),OR(H13="Criar",F13="-",AND(H13="Eliminar",J13+K13+L13+O13+P13+Q13&lt;&gt;0))),"-",IF(OR(H13="Perfectiva",H13="Eliminar",H13="Somente teste",H13="Teste + Plano"),F13,IF(OR(I13="ALI",I13="AIE"),IF(M13=0,"-",VLOOKUP(M13,{1,"Baixo","Baixo","Médio";2,"Baixo","Médio","Alto";6,"Médio","Alto","Alto"},MATCH(R13,{1,20,51})+1)),IF(I13="EE",VLOOKUP(M13,{0,"Baixo","Baixo","Médio";2,"Baixo","Médio","Alto";3,"Médio","Alto","Alto"},MATCH(R13,{1,5,16})+1),IF(OR(I13="SE",I13="CE"),IF(AND(M13=0,I13="CE"),IF(OR(H13="Perfectiva",H13="Eliminar",H13="Somente teste",H13="Teste + Plano",H13="Modificar"),F13,"-"),VLOOKUP(M13,{0,"Baixo","Baixo","Médio";2,"Baixo","Médio","Alto";4,"Médio","Alto","Alto"},MATCH(R13,{1,6,20})+1)),)))))))))</f>
        <v>Médio</v>
      </c>
      <c r="V13" s="14">
        <f>IF(OR(T13="-",U13="-",OR(AND(OR(I13="-",I13=""),OR(H13="Modificar",H13="Dados de Código")))),"-",IF(H13="Eliminar",G13*T13,IF(AND(OR(H13="Teste + Plano",H13="Somente teste"),F13&lt;&gt;"-"),(G13*0.5)*T13,T13*VLOOKUP(I13,{"ALI",7,10,15;"AIE",5,7,10;"EE",3,4,6;"SE",4,5,7;"CE",3,4,6},MATCH(U13,{"Baixo","Médio","Alto"},0)+1,FALSE))))</f>
        <v>5</v>
      </c>
      <c r="W13" s="15" t="s">
        <v>32</v>
      </c>
      <c r="X13" s="40"/>
      <c r="Y13" s="40"/>
      <c r="Z13" s="40"/>
      <c r="AA13" s="40"/>
      <c r="AB13" s="40"/>
      <c r="AC13" s="40"/>
      <c r="AD13" s="8"/>
      <c r="AE13" s="8"/>
    </row>
    <row r="14" spans="1:31" ht="39.950000000000003" customHeight="1" x14ac:dyDescent="0.2">
      <c r="A14" s="9" t="s">
        <v>95</v>
      </c>
      <c r="B14" s="9" t="s">
        <v>88</v>
      </c>
      <c r="C14" s="10"/>
      <c r="D14" s="11"/>
      <c r="E14" s="11"/>
      <c r="F14" s="12" t="str">
        <f>IF(OR(TRIM(A14)="",AND(E14=0,D14&lt;&gt;0)),"-",IF(AND(OR(C14="EE",C14="CE",C14="SE"),D14=0,E14=0), "Médio", IF(AND(OR(C14="ALI",C14="AIE"),D14=0,E14=0),"Baixo",IF(OR(C14="ALI",C14="AIE"),IF(D14=0,"-",VLOOKUP(D14,{1,"Baixo","Baixo","Médio";2,"Baixo","Médio","Alto";6,"Médio","Alto","Alto"},MATCH(E14,{1,20,51})+1)),IF(C14="EE",VLOOKUP(D14,{0,"Baixo","Baixo","Médio";2,"Baixo","Médio","Alto";3,"Médio","Alto","Alto"},MATCH(E14,{1,5,16})+1),IF(OR(C14="SE",C14="CE"),IF(AND(D14=0,C14="CE"),"-",VLOOKUP(D14,{0,"Baixo","Baixo","Médio";2,"Baixo","Médio","Alto";4,"Médio","Alto","Alto"},MATCH(E14,{1,6,20})+1)),"-"))))))</f>
        <v>-</v>
      </c>
      <c r="G14" s="13" t="str">
        <f>IF(F14="-","-",VLOOKUP(C14,{"ALI",7,10,15;"AIE",5,7,10;"EE",3,4,6;"SE",4,5,7;"CE",3,4,6},MATCH(F14,{"Baixo","Médio","Alto"},0)+1,FALSE))</f>
        <v>-</v>
      </c>
      <c r="H14" s="11" t="s">
        <v>77</v>
      </c>
      <c r="I14" s="15" t="s">
        <v>73</v>
      </c>
      <c r="J14" s="11"/>
      <c r="K14" s="11"/>
      <c r="L14" s="11"/>
      <c r="M14" s="12">
        <f t="shared" ref="M14" si="20">IF(OR(TRIM(A14)="",AND(OR(D14&lt;&gt;0,G14&lt;&gt;"-"),H14="Criar"),AND(G14="-",H14&lt;&gt;"Criar",H14&lt;&gt;"Dados de Código"),AND(H14="Eliminar",OR(C14&lt;&gt;I14,SUM(J14:L14)&lt;&gt;0)),AND(OR(H14="Modificar",H14="Perfectiva",H14="Somente teste",H14="Teste + Plano"),OR(AND(OR(C14="ALI",C14="AIE"),AND(I14&lt;&gt;"ALI",I14&lt;&gt;"AIE")),AND(OR(C14="EE",C14="SE",C14="CE"),AND(I14&lt;&gt;"EE",I14&lt;&gt;"SE",I14&lt;&gt;"CE")))),(D14+J14-L14)&lt;0,(D14-K14-L14)&lt;0,AND((D14+J14-L14)=0,I14&lt;&gt;"EE",I14&lt;&gt;"SE")),"-",IF(AND(H14&lt;&gt;"Perfectiva",H14&lt;&gt;"Somente teste",H14&lt;&gt;"Teste + Plano"),D14+J14-L14,D14))</f>
        <v>0</v>
      </c>
      <c r="N14" s="13" t="str">
        <f t="shared" ref="N14" si="21">IF(OR(M14="-",AND(H14&lt;&gt;"Modificar",H14&lt;&gt;"Dados de Código"),AND(H14="Dados de Código",OR(F14="-",D14+E14=0)),AND(I14&lt;&gt;"EE",I14&lt;&gt;"SE",I14&lt;&gt;"CE")),"-",IF(D14=0,IF(M14=0,0,100),INT(SUM(J14:L14)/D14*100)))</f>
        <v>-</v>
      </c>
      <c r="O14" s="11"/>
      <c r="P14" s="11"/>
      <c r="Q14" s="11"/>
      <c r="R14" s="12" t="str">
        <f t="shared" ref="R14" si="22">IF(OR(TRIM(A14)="",AND(OR(G14&lt;&gt;"-",E14&lt;&gt;0),H14="Criar"),AND(OR(G14="-", D14+E14=0),H14&lt;&gt;"Criar",H14&lt;&gt;"Dados de Código"), AND(H14="Eliminar",OR(C14&lt;&gt;I14,SUM(O14:Q14)&lt;&gt;0)),AND(OR(H14="Modificar",H14="Perfectiva",H14="Somente teste",H14="Teste + Plano"),OR(AND(OR(C14="ALI",C14="AIE"),AND(I14&lt;&gt;"ALI",I14&lt;&gt;"AIE")),AND(OR(C14="EE",C14="SE",C14="CE"),AND(I14&lt;&gt;"EE",I14&lt;&gt;"SE",I14&lt;&gt;"CE")))),(E14+O14-Q14)&lt;=0,(E14-P14-Q14)&lt;0),"-",IF(AND(H14&lt;&gt;"Perfectiva",H14&lt;&gt;"Somente teste",H14&lt;&gt;"Teste + Plano"),E14+O14-Q14,E14))</f>
        <v>-</v>
      </c>
      <c r="S14" s="13" t="str">
        <f t="shared" ref="S14" si="23">IF(OR(R14="-",AND(H14&lt;&gt;"Modificar",H14&lt;&gt;"Dados de Código"),AND(H14="Dados de Código",OR(F14="-",D14+E14=0))),"-",INT(SUM(O14:Q14)/E14*100))</f>
        <v>-</v>
      </c>
      <c r="T14" s="14">
        <f>IF(AND(H14="Modificar",SUM(J14:R14)=0),0.25,IF(AND(H14="Dados de Código",AND(D14+E14=0,OR(C14="-",C14=""))),0.1,IF(H14="Eliminar",0.4,IF(H14="Perfectiva",0.3,IF(H14="Somente teste",0.15,IF(H14="Teste + Plano",0.2,IF(H14="Criar",1,IF(OR(AND(H14&lt;&gt;"Modificar",H14&lt;&gt;"Dados de Código"),M14="-",S14="-"),"-",IF(OR(I14="ALI",I14="AIE"),IF(LEFT(C14)&lt;&gt;"A","-",IF(AND(SUM(J14:L14)=0,SUM(O14:Q14)=0),IF(C14&lt;&gt;I14,0.4,"-"),IF(H14="Modificar",HLOOKUP(S14,{0,34,68,101;0.25,0.5,0.75,1},2),HLOOKUP(S14,{0,34,68,101;0.25,0.5,0.75,1},2)*0.1))),IF(OR(AND(I14&lt;&gt;"EE",I14&lt;&gt;"SE",I14&lt;&gt;"CE"),N14="-"),"-", IF(H14="Modificar",VLOOKUP(N14,{0,0.25,0.5,0.75;34,0.5,0.75,1;68,0.75,1,1;101,1,1,1},MATCH(S14,{0,68,101})+1),VLOOKUP(N14,{0,0.25,0.5,0.75;34,0.5,0.75,1;68,0.75,1,1;101,1,1,1},MATCH(S14,{0,68,101})+1)*0.1)))))))))))</f>
        <v>1</v>
      </c>
      <c r="U14" s="14" t="str">
        <f>IF(AND(H14="Modificar",D14+E14=0),F14,IF(OR(T14="-",AND(OR(H14="Perfectiva",H14="Somente teste",H14="Teste + Plano"),F14="-",I14=""),AND(H14="Eliminar",AND(C14&lt;&gt;I14,I14&lt;&gt;"-",I14&lt;&gt;""))),"-",IF(AND(H14="Criar",OR(AND(C14&lt;&gt;"",C14&lt;&gt;"-"),F14&lt;&gt;"-",I14="")),"X",IF(AND(A14&lt;&gt;"",H14&lt;&gt;"Eliminar",F14="-",T14&lt;&gt;0,J14+K14+L14+O14+P14+Q14=0),IF(OR(I14="ALI",I14="AIE"),"Baixo","Médio"),IF(AND(OR(M14="-",R14="-"),OR(H14="Criar",F14="-",AND(H14="Eliminar",J14+K14+L14+O14+P14+Q14&lt;&gt;0))),"-",IF(OR(H14="Perfectiva",H14="Eliminar",H14="Somente teste",H14="Teste + Plano"),F14,IF(OR(I14="ALI",I14="AIE"),IF(M14=0,"-",VLOOKUP(M14,{1,"Baixo","Baixo","Médio";2,"Baixo","Médio","Alto";6,"Médio","Alto","Alto"},MATCH(R14,{1,20,51})+1)),IF(I14="EE",VLOOKUP(M14,{0,"Baixo","Baixo","Médio";2,"Baixo","Médio","Alto";3,"Médio","Alto","Alto"},MATCH(R14,{1,5,16})+1),IF(OR(I14="SE",I14="CE"),IF(AND(M14=0,I14="CE"),IF(OR(H14="Perfectiva",H14="Eliminar",H14="Somente teste",H14="Teste + Plano",H14="Modificar"),F14,"-"),VLOOKUP(M14,{0,"Baixo","Baixo","Médio";2,"Baixo","Médio","Alto";4,"Médio","Alto","Alto"},MATCH(R14,{1,6,20})+1)),)))))))))</f>
        <v>Médio</v>
      </c>
      <c r="V14" s="14">
        <f>IF(OR(T14="-",U14="-",OR(AND(OR(I14="-",I14=""),OR(H14="Modificar",H14="Dados de Código")))),"-",IF(H14="Eliminar",G14*T14,IF(AND(OR(H14="Teste + Plano",H14="Somente teste"),F14&lt;&gt;"-"),(G14*0.5)*T14,T14*VLOOKUP(I14,{"ALI",7,10,15;"AIE",5,7,10;"EE",3,4,6;"SE",4,5,7;"CE",3,4,6},MATCH(U14,{"Baixo","Médio","Alto"},0)+1,FALSE))))</f>
        <v>5</v>
      </c>
      <c r="W14" s="15" t="s">
        <v>32</v>
      </c>
      <c r="X14" s="40"/>
      <c r="Y14" s="40"/>
      <c r="Z14" s="40"/>
      <c r="AA14" s="40"/>
      <c r="AB14" s="40"/>
      <c r="AC14" s="40"/>
      <c r="AD14" s="8"/>
      <c r="AE14" s="8"/>
    </row>
    <row r="15" spans="1:31" ht="39.950000000000003" customHeight="1" x14ac:dyDescent="0.2">
      <c r="A15" s="9" t="s">
        <v>96</v>
      </c>
      <c r="B15" s="9" t="s">
        <v>88</v>
      </c>
      <c r="C15" s="10"/>
      <c r="D15" s="11"/>
      <c r="E15" s="11"/>
      <c r="F15" s="12" t="str">
        <f>IF(OR(TRIM(A15)="",AND(E15=0,D15&lt;&gt;0)),"-",IF(AND(OR(C15="EE",C15="CE",C15="SE"),D15=0,E15=0), "Médio", IF(AND(OR(C15="ALI",C15="AIE"),D15=0,E15=0),"Baixo",IF(OR(C15="ALI",C15="AIE"),IF(D15=0,"-",VLOOKUP(D15,{1,"Baixo","Baixo","Médio";2,"Baixo","Médio","Alto";6,"Médio","Alto","Alto"},MATCH(E15,{1,20,51})+1)),IF(C15="EE",VLOOKUP(D15,{0,"Baixo","Baixo","Médio";2,"Baixo","Médio","Alto";3,"Médio","Alto","Alto"},MATCH(E15,{1,5,16})+1),IF(OR(C15="SE",C15="CE"),IF(AND(D15=0,C15="CE"),"-",VLOOKUP(D15,{0,"Baixo","Baixo","Médio";2,"Baixo","Médio","Alto";4,"Médio","Alto","Alto"},MATCH(E15,{1,6,20})+1)),"-"))))))</f>
        <v>-</v>
      </c>
      <c r="G15" s="13" t="str">
        <f>IF(F15="-","-",VLOOKUP(C15,{"ALI",7,10,15;"AIE",5,7,10;"EE",3,4,6;"SE",4,5,7;"CE",3,4,6},MATCH(F15,{"Baixo","Médio","Alto"},0)+1,FALSE))</f>
        <v>-</v>
      </c>
      <c r="H15" s="11" t="s">
        <v>77</v>
      </c>
      <c r="I15" s="15" t="s">
        <v>73</v>
      </c>
      <c r="J15" s="11"/>
      <c r="K15" s="11"/>
      <c r="L15" s="11"/>
      <c r="M15" s="12">
        <f t="shared" ref="M15" si="24">IF(OR(TRIM(A15)="",AND(OR(D15&lt;&gt;0,G15&lt;&gt;"-"),H15="Criar"),AND(G15="-",H15&lt;&gt;"Criar",H15&lt;&gt;"Dados de Código"),AND(H15="Eliminar",OR(C15&lt;&gt;I15,SUM(J15:L15)&lt;&gt;0)),AND(OR(H15="Modificar",H15="Perfectiva",H15="Somente teste",H15="Teste + Plano"),OR(AND(OR(C15="ALI",C15="AIE"),AND(I15&lt;&gt;"ALI",I15&lt;&gt;"AIE")),AND(OR(C15="EE",C15="SE",C15="CE"),AND(I15&lt;&gt;"EE",I15&lt;&gt;"SE",I15&lt;&gt;"CE")))),(D15+J15-L15)&lt;0,(D15-K15-L15)&lt;0,AND((D15+J15-L15)=0,I15&lt;&gt;"EE",I15&lt;&gt;"SE")),"-",IF(AND(H15&lt;&gt;"Perfectiva",H15&lt;&gt;"Somente teste",H15&lt;&gt;"Teste + Plano"),D15+J15-L15,D15))</f>
        <v>0</v>
      </c>
      <c r="N15" s="13" t="str">
        <f t="shared" ref="N15" si="25">IF(OR(M15="-",AND(H15&lt;&gt;"Modificar",H15&lt;&gt;"Dados de Código"),AND(H15="Dados de Código",OR(F15="-",D15+E15=0)),AND(I15&lt;&gt;"EE",I15&lt;&gt;"SE",I15&lt;&gt;"CE")),"-",IF(D15=0,IF(M15=0,0,100),INT(SUM(J15:L15)/D15*100)))</f>
        <v>-</v>
      </c>
      <c r="O15" s="11"/>
      <c r="P15" s="11"/>
      <c r="Q15" s="11"/>
      <c r="R15" s="12" t="str">
        <f t="shared" ref="R15" si="26">IF(OR(TRIM(A15)="",AND(OR(G15&lt;&gt;"-",E15&lt;&gt;0),H15="Criar"),AND(OR(G15="-", D15+E15=0),H15&lt;&gt;"Criar",H15&lt;&gt;"Dados de Código"), AND(H15="Eliminar",OR(C15&lt;&gt;I15,SUM(O15:Q15)&lt;&gt;0)),AND(OR(H15="Modificar",H15="Perfectiva",H15="Somente teste",H15="Teste + Plano"),OR(AND(OR(C15="ALI",C15="AIE"),AND(I15&lt;&gt;"ALI",I15&lt;&gt;"AIE")),AND(OR(C15="EE",C15="SE",C15="CE"),AND(I15&lt;&gt;"EE",I15&lt;&gt;"SE",I15&lt;&gt;"CE")))),(E15+O15-Q15)&lt;=0,(E15-P15-Q15)&lt;0),"-",IF(AND(H15&lt;&gt;"Perfectiva",H15&lt;&gt;"Somente teste",H15&lt;&gt;"Teste + Plano"),E15+O15-Q15,E15))</f>
        <v>-</v>
      </c>
      <c r="S15" s="13" t="str">
        <f t="shared" ref="S15" si="27">IF(OR(R15="-",AND(H15&lt;&gt;"Modificar",H15&lt;&gt;"Dados de Código"),AND(H15="Dados de Código",OR(F15="-",D15+E15=0))),"-",INT(SUM(O15:Q15)/E15*100))</f>
        <v>-</v>
      </c>
      <c r="T15" s="14">
        <f>IF(AND(H15="Modificar",SUM(J15:R15)=0),0.25,IF(AND(H15="Dados de Código",AND(D15+E15=0,OR(C15="-",C15=""))),0.1,IF(H15="Eliminar",0.4,IF(H15="Perfectiva",0.3,IF(H15="Somente teste",0.15,IF(H15="Teste + Plano",0.2,IF(H15="Criar",1,IF(OR(AND(H15&lt;&gt;"Modificar",H15&lt;&gt;"Dados de Código"),M15="-",S15="-"),"-",IF(OR(I15="ALI",I15="AIE"),IF(LEFT(C15)&lt;&gt;"A","-",IF(AND(SUM(J15:L15)=0,SUM(O15:Q15)=0),IF(C15&lt;&gt;I15,0.4,"-"),IF(H15="Modificar",HLOOKUP(S15,{0,34,68,101;0.25,0.5,0.75,1},2),HLOOKUP(S15,{0,34,68,101;0.25,0.5,0.75,1},2)*0.1))),IF(OR(AND(I15&lt;&gt;"EE",I15&lt;&gt;"SE",I15&lt;&gt;"CE"),N15="-"),"-", IF(H15="Modificar",VLOOKUP(N15,{0,0.25,0.5,0.75;34,0.5,0.75,1;68,0.75,1,1;101,1,1,1},MATCH(S15,{0,68,101})+1),VLOOKUP(N15,{0,0.25,0.5,0.75;34,0.5,0.75,1;68,0.75,1,1;101,1,1,1},MATCH(S15,{0,68,101})+1)*0.1)))))))))))</f>
        <v>1</v>
      </c>
      <c r="U15" s="14" t="str">
        <f>IF(AND(H15="Modificar",D15+E15=0),F15,IF(OR(T15="-",AND(OR(H15="Perfectiva",H15="Somente teste",H15="Teste + Plano"),F15="-",I15=""),AND(H15="Eliminar",AND(C15&lt;&gt;I15,I15&lt;&gt;"-",I15&lt;&gt;""))),"-",IF(AND(H15="Criar",OR(AND(C15&lt;&gt;"",C15&lt;&gt;"-"),F15&lt;&gt;"-",I15="")),"X",IF(AND(A15&lt;&gt;"",H15&lt;&gt;"Eliminar",F15="-",T15&lt;&gt;0,J15+K15+L15+O15+P15+Q15=0),IF(OR(I15="ALI",I15="AIE"),"Baixo","Médio"),IF(AND(OR(M15="-",R15="-"),OR(H15="Criar",F15="-",AND(H15="Eliminar",J15+K15+L15+O15+P15+Q15&lt;&gt;0))),"-",IF(OR(H15="Perfectiva",H15="Eliminar",H15="Somente teste",H15="Teste + Plano"),F15,IF(OR(I15="ALI",I15="AIE"),IF(M15=0,"-",VLOOKUP(M15,{1,"Baixo","Baixo","Médio";2,"Baixo","Médio","Alto";6,"Médio","Alto","Alto"},MATCH(R15,{1,20,51})+1)),IF(I15="EE",VLOOKUP(M15,{0,"Baixo","Baixo","Médio";2,"Baixo","Médio","Alto";3,"Médio","Alto","Alto"},MATCH(R15,{1,5,16})+1),IF(OR(I15="SE",I15="CE"),IF(AND(M15=0,I15="CE"),IF(OR(H15="Perfectiva",H15="Eliminar",H15="Somente teste",H15="Teste + Plano",H15="Modificar"),F15,"-"),VLOOKUP(M15,{0,"Baixo","Baixo","Médio";2,"Baixo","Médio","Alto";4,"Médio","Alto","Alto"},MATCH(R15,{1,6,20})+1)),)))))))))</f>
        <v>Médio</v>
      </c>
      <c r="V15" s="14">
        <f>IF(OR(T15="-",U15="-",OR(AND(OR(I15="-",I15=""),OR(H15="Modificar",H15="Dados de Código")))),"-",IF(H15="Eliminar",G15*T15,IF(AND(OR(H15="Teste + Plano",H15="Somente teste"),F15&lt;&gt;"-"),(G15*0.5)*T15,T15*VLOOKUP(I15,{"ALI",7,10,15;"AIE",5,7,10;"EE",3,4,6;"SE",4,5,7;"CE",3,4,6},MATCH(U15,{"Baixo","Médio","Alto"},0)+1,FALSE))))</f>
        <v>5</v>
      </c>
      <c r="W15" s="15" t="s">
        <v>32</v>
      </c>
      <c r="X15" s="40"/>
      <c r="Y15" s="40"/>
      <c r="Z15" s="40"/>
      <c r="AA15" s="40"/>
      <c r="AB15" s="40"/>
      <c r="AC15" s="40"/>
      <c r="AD15" s="8"/>
      <c r="AE15" s="8"/>
    </row>
    <row r="16" spans="1:31" ht="39.950000000000003" customHeight="1" x14ac:dyDescent="0.2">
      <c r="A16" s="9" t="s">
        <v>97</v>
      </c>
      <c r="B16" s="9" t="s">
        <v>88</v>
      </c>
      <c r="C16" s="10"/>
      <c r="D16" s="11"/>
      <c r="E16" s="11"/>
      <c r="F16" s="12" t="str">
        <f>IF(OR(TRIM(A16)="",AND(E16=0,D16&lt;&gt;0)),"-",IF(AND(OR(C16="EE",C16="CE",C16="SE"),D16=0,E16=0), "Médio", IF(AND(OR(C16="ALI",C16="AIE"),D16=0,E16=0),"Baixo",IF(OR(C16="ALI",C16="AIE"),IF(D16=0,"-",VLOOKUP(D16,{1,"Baixo","Baixo","Médio";2,"Baixo","Médio","Alto";6,"Médio","Alto","Alto"},MATCH(E16,{1,20,51})+1)),IF(C16="EE",VLOOKUP(D16,{0,"Baixo","Baixo","Médio";2,"Baixo","Médio","Alto";3,"Médio","Alto","Alto"},MATCH(E16,{1,5,16})+1),IF(OR(C16="SE",C16="CE"),IF(AND(D16=0,C16="CE"),"-",VLOOKUP(D16,{0,"Baixo","Baixo","Médio";2,"Baixo","Médio","Alto";4,"Médio","Alto","Alto"},MATCH(E16,{1,6,20})+1)),"-"))))))</f>
        <v>-</v>
      </c>
      <c r="G16" s="13" t="str">
        <f>IF(F16="-","-",VLOOKUP(C16,{"ALI",7,10,15;"AIE",5,7,10;"EE",3,4,6;"SE",4,5,7;"CE",3,4,6},MATCH(F16,{"Baixo","Médio","Alto"},0)+1,FALSE))</f>
        <v>-</v>
      </c>
      <c r="H16" s="11" t="s">
        <v>77</v>
      </c>
      <c r="I16" s="15" t="s">
        <v>73</v>
      </c>
      <c r="J16" s="11"/>
      <c r="K16" s="11"/>
      <c r="L16" s="11"/>
      <c r="M16" s="12">
        <f t="shared" ref="M16" si="28">IF(OR(TRIM(A16)="",AND(OR(D16&lt;&gt;0,G16&lt;&gt;"-"),H16="Criar"),AND(G16="-",H16&lt;&gt;"Criar",H16&lt;&gt;"Dados de Código"),AND(H16="Eliminar",OR(C16&lt;&gt;I16,SUM(J16:L16)&lt;&gt;0)),AND(OR(H16="Modificar",H16="Perfectiva",H16="Somente teste",H16="Teste + Plano"),OR(AND(OR(C16="ALI",C16="AIE"),AND(I16&lt;&gt;"ALI",I16&lt;&gt;"AIE")),AND(OR(C16="EE",C16="SE",C16="CE"),AND(I16&lt;&gt;"EE",I16&lt;&gt;"SE",I16&lt;&gt;"CE")))),(D16+J16-L16)&lt;0,(D16-K16-L16)&lt;0,AND((D16+J16-L16)=0,I16&lt;&gt;"EE",I16&lt;&gt;"SE")),"-",IF(AND(H16&lt;&gt;"Perfectiva",H16&lt;&gt;"Somente teste",H16&lt;&gt;"Teste + Plano"),D16+J16-L16,D16))</f>
        <v>0</v>
      </c>
      <c r="N16" s="13" t="str">
        <f t="shared" ref="N16" si="29">IF(OR(M16="-",AND(H16&lt;&gt;"Modificar",H16&lt;&gt;"Dados de Código"),AND(H16="Dados de Código",OR(F16="-",D16+E16=0)),AND(I16&lt;&gt;"EE",I16&lt;&gt;"SE",I16&lt;&gt;"CE")),"-",IF(D16=0,IF(M16=0,0,100),INT(SUM(J16:L16)/D16*100)))</f>
        <v>-</v>
      </c>
      <c r="O16" s="11"/>
      <c r="P16" s="11"/>
      <c r="Q16" s="11"/>
      <c r="R16" s="12" t="str">
        <f t="shared" ref="R16" si="30">IF(OR(TRIM(A16)="",AND(OR(G16&lt;&gt;"-",E16&lt;&gt;0),H16="Criar"),AND(OR(G16="-", D16+E16=0),H16&lt;&gt;"Criar",H16&lt;&gt;"Dados de Código"), AND(H16="Eliminar",OR(C16&lt;&gt;I16,SUM(O16:Q16)&lt;&gt;0)),AND(OR(H16="Modificar",H16="Perfectiva",H16="Somente teste",H16="Teste + Plano"),OR(AND(OR(C16="ALI",C16="AIE"),AND(I16&lt;&gt;"ALI",I16&lt;&gt;"AIE")),AND(OR(C16="EE",C16="SE",C16="CE"),AND(I16&lt;&gt;"EE",I16&lt;&gt;"SE",I16&lt;&gt;"CE")))),(E16+O16-Q16)&lt;=0,(E16-P16-Q16)&lt;0),"-",IF(AND(H16&lt;&gt;"Perfectiva",H16&lt;&gt;"Somente teste",H16&lt;&gt;"Teste + Plano"),E16+O16-Q16,E16))</f>
        <v>-</v>
      </c>
      <c r="S16" s="13" t="str">
        <f t="shared" ref="S16" si="31">IF(OR(R16="-",AND(H16&lt;&gt;"Modificar",H16&lt;&gt;"Dados de Código"),AND(H16="Dados de Código",OR(F16="-",D16+E16=0))),"-",INT(SUM(O16:Q16)/E16*100))</f>
        <v>-</v>
      </c>
      <c r="T16" s="14">
        <f>IF(AND(H16="Modificar",SUM(J16:R16)=0),0.25,IF(AND(H16="Dados de Código",AND(D16+E16=0,OR(C16="-",C16=""))),0.1,IF(H16="Eliminar",0.4,IF(H16="Perfectiva",0.3,IF(H16="Somente teste",0.15,IF(H16="Teste + Plano",0.2,IF(H16="Criar",1,IF(OR(AND(H16&lt;&gt;"Modificar",H16&lt;&gt;"Dados de Código"),M16="-",S16="-"),"-",IF(OR(I16="ALI",I16="AIE"),IF(LEFT(C16)&lt;&gt;"A","-",IF(AND(SUM(J16:L16)=0,SUM(O16:Q16)=0),IF(C16&lt;&gt;I16,0.4,"-"),IF(H16="Modificar",HLOOKUP(S16,{0,34,68,101;0.25,0.5,0.75,1},2),HLOOKUP(S16,{0,34,68,101;0.25,0.5,0.75,1},2)*0.1))),IF(OR(AND(I16&lt;&gt;"EE",I16&lt;&gt;"SE",I16&lt;&gt;"CE"),N16="-"),"-", IF(H16="Modificar",VLOOKUP(N16,{0,0.25,0.5,0.75;34,0.5,0.75,1;68,0.75,1,1;101,1,1,1},MATCH(S16,{0,68,101})+1),VLOOKUP(N16,{0,0.25,0.5,0.75;34,0.5,0.75,1;68,0.75,1,1;101,1,1,1},MATCH(S16,{0,68,101})+1)*0.1)))))))))))</f>
        <v>1</v>
      </c>
      <c r="U16" s="14" t="str">
        <f>IF(AND(H16="Modificar",D16+E16=0),F16,IF(OR(T16="-",AND(OR(H16="Perfectiva",H16="Somente teste",H16="Teste + Plano"),F16="-",I16=""),AND(H16="Eliminar",AND(C16&lt;&gt;I16,I16&lt;&gt;"-",I16&lt;&gt;""))),"-",IF(AND(H16="Criar",OR(AND(C16&lt;&gt;"",C16&lt;&gt;"-"),F16&lt;&gt;"-",I16="")),"X",IF(AND(A16&lt;&gt;"",H16&lt;&gt;"Eliminar",F16="-",T16&lt;&gt;0,J16+K16+L16+O16+P16+Q16=0),IF(OR(I16="ALI",I16="AIE"),"Baixo","Médio"),IF(AND(OR(M16="-",R16="-"),OR(H16="Criar",F16="-",AND(H16="Eliminar",J16+K16+L16+O16+P16+Q16&lt;&gt;0))),"-",IF(OR(H16="Perfectiva",H16="Eliminar",H16="Somente teste",H16="Teste + Plano"),F16,IF(OR(I16="ALI",I16="AIE"),IF(M16=0,"-",VLOOKUP(M16,{1,"Baixo","Baixo","Médio";2,"Baixo","Médio","Alto";6,"Médio","Alto","Alto"},MATCH(R16,{1,20,51})+1)),IF(I16="EE",VLOOKUP(M16,{0,"Baixo","Baixo","Médio";2,"Baixo","Médio","Alto";3,"Médio","Alto","Alto"},MATCH(R16,{1,5,16})+1),IF(OR(I16="SE",I16="CE"),IF(AND(M16=0,I16="CE"),IF(OR(H16="Perfectiva",H16="Eliminar",H16="Somente teste",H16="Teste + Plano",H16="Modificar"),F16,"-"),VLOOKUP(M16,{0,"Baixo","Baixo","Médio";2,"Baixo","Médio","Alto";4,"Médio","Alto","Alto"},MATCH(R16,{1,6,20})+1)),)))))))))</f>
        <v>Médio</v>
      </c>
      <c r="V16" s="14">
        <f>IF(OR(T16="-",U16="-",OR(AND(OR(I16="-",I16=""),OR(H16="Modificar",H16="Dados de Código")))),"-",IF(H16="Eliminar",G16*T16,IF(AND(OR(H16="Teste + Plano",H16="Somente teste"),F16&lt;&gt;"-"),(G16*0.5)*T16,T16*VLOOKUP(I16,{"ALI",7,10,15;"AIE",5,7,10;"EE",3,4,6;"SE",4,5,7;"CE",3,4,6},MATCH(U16,{"Baixo","Médio","Alto"},0)+1,FALSE))))</f>
        <v>5</v>
      </c>
      <c r="W16" s="15" t="s">
        <v>32</v>
      </c>
      <c r="X16" s="40"/>
      <c r="Y16" s="40"/>
      <c r="Z16" s="40"/>
      <c r="AA16" s="40"/>
      <c r="AB16" s="40"/>
      <c r="AC16" s="40"/>
      <c r="AD16" s="8"/>
      <c r="AE16" s="8"/>
    </row>
    <row r="17" spans="1:31" ht="39.950000000000003" customHeight="1" x14ac:dyDescent="0.2">
      <c r="A17" s="9" t="s">
        <v>98</v>
      </c>
      <c r="B17" s="9" t="s">
        <v>88</v>
      </c>
      <c r="C17" s="10"/>
      <c r="D17" s="11"/>
      <c r="E17" s="11"/>
      <c r="F17" s="12" t="str">
        <f>IF(OR(TRIM(A17)="",AND(E17=0,D17&lt;&gt;0)),"-",IF(AND(OR(C17="EE",C17="CE",C17="SE"),D17=0,E17=0), "Médio", IF(AND(OR(C17="ALI",C17="AIE"),D17=0,E17=0),"Baixo",IF(OR(C17="ALI",C17="AIE"),IF(D17=0,"-",VLOOKUP(D17,{1,"Baixo","Baixo","Médio";2,"Baixo","Médio","Alto";6,"Médio","Alto","Alto"},MATCH(E17,{1,20,51})+1)),IF(C17="EE",VLOOKUP(D17,{0,"Baixo","Baixo","Médio";2,"Baixo","Médio","Alto";3,"Médio","Alto","Alto"},MATCH(E17,{1,5,16})+1),IF(OR(C17="SE",C17="CE"),IF(AND(D17=0,C17="CE"),"-",VLOOKUP(D17,{0,"Baixo","Baixo","Médio";2,"Baixo","Médio","Alto";4,"Médio","Alto","Alto"},MATCH(E17,{1,6,20})+1)),"-"))))))</f>
        <v>-</v>
      </c>
      <c r="G17" s="13" t="str">
        <f>IF(F17="-","-",VLOOKUP(C17,{"ALI",7,10,15;"AIE",5,7,10;"EE",3,4,6;"SE",4,5,7;"CE",3,4,6},MATCH(F17,{"Baixo","Médio","Alto"},0)+1,FALSE))</f>
        <v>-</v>
      </c>
      <c r="H17" s="11" t="s">
        <v>77</v>
      </c>
      <c r="I17" s="15" t="s">
        <v>73</v>
      </c>
      <c r="J17" s="11"/>
      <c r="K17" s="11"/>
      <c r="L17" s="11"/>
      <c r="M17" s="12">
        <f t="shared" ref="M17" si="32">IF(OR(TRIM(A17)="",AND(OR(D17&lt;&gt;0,G17&lt;&gt;"-"),H17="Criar"),AND(G17="-",H17&lt;&gt;"Criar",H17&lt;&gt;"Dados de Código"),AND(H17="Eliminar",OR(C17&lt;&gt;I17,SUM(J17:L17)&lt;&gt;0)),AND(OR(H17="Modificar",H17="Perfectiva",H17="Somente teste",H17="Teste + Plano"),OR(AND(OR(C17="ALI",C17="AIE"),AND(I17&lt;&gt;"ALI",I17&lt;&gt;"AIE")),AND(OR(C17="EE",C17="SE",C17="CE"),AND(I17&lt;&gt;"EE",I17&lt;&gt;"SE",I17&lt;&gt;"CE")))),(D17+J17-L17)&lt;0,(D17-K17-L17)&lt;0,AND((D17+J17-L17)=0,I17&lt;&gt;"EE",I17&lt;&gt;"SE")),"-",IF(AND(H17&lt;&gt;"Perfectiva",H17&lt;&gt;"Somente teste",H17&lt;&gt;"Teste + Plano"),D17+J17-L17,D17))</f>
        <v>0</v>
      </c>
      <c r="N17" s="13" t="str">
        <f t="shared" ref="N17" si="33">IF(OR(M17="-",AND(H17&lt;&gt;"Modificar",H17&lt;&gt;"Dados de Código"),AND(H17="Dados de Código",OR(F17="-",D17+E17=0)),AND(I17&lt;&gt;"EE",I17&lt;&gt;"SE",I17&lt;&gt;"CE")),"-",IF(D17=0,IF(M17=0,0,100),INT(SUM(J17:L17)/D17*100)))</f>
        <v>-</v>
      </c>
      <c r="O17" s="11"/>
      <c r="P17" s="11"/>
      <c r="Q17" s="11"/>
      <c r="R17" s="12" t="str">
        <f t="shared" ref="R17" si="34">IF(OR(TRIM(A17)="",AND(OR(G17&lt;&gt;"-",E17&lt;&gt;0),H17="Criar"),AND(OR(G17="-", D17+E17=0),H17&lt;&gt;"Criar",H17&lt;&gt;"Dados de Código"), AND(H17="Eliminar",OR(C17&lt;&gt;I17,SUM(O17:Q17)&lt;&gt;0)),AND(OR(H17="Modificar",H17="Perfectiva",H17="Somente teste",H17="Teste + Plano"),OR(AND(OR(C17="ALI",C17="AIE"),AND(I17&lt;&gt;"ALI",I17&lt;&gt;"AIE")),AND(OR(C17="EE",C17="SE",C17="CE"),AND(I17&lt;&gt;"EE",I17&lt;&gt;"SE",I17&lt;&gt;"CE")))),(E17+O17-Q17)&lt;=0,(E17-P17-Q17)&lt;0),"-",IF(AND(H17&lt;&gt;"Perfectiva",H17&lt;&gt;"Somente teste",H17&lt;&gt;"Teste + Plano"),E17+O17-Q17,E17))</f>
        <v>-</v>
      </c>
      <c r="S17" s="13" t="str">
        <f t="shared" ref="S17" si="35">IF(OR(R17="-",AND(H17&lt;&gt;"Modificar",H17&lt;&gt;"Dados de Código"),AND(H17="Dados de Código",OR(F17="-",D17+E17=0))),"-",INT(SUM(O17:Q17)/E17*100))</f>
        <v>-</v>
      </c>
      <c r="T17" s="14">
        <f>IF(AND(H17="Modificar",SUM(J17:R17)=0),0.25,IF(AND(H17="Dados de Código",AND(D17+E17=0,OR(C17="-",C17=""))),0.1,IF(H17="Eliminar",0.4,IF(H17="Perfectiva",0.3,IF(H17="Somente teste",0.15,IF(H17="Teste + Plano",0.2,IF(H17="Criar",1,IF(OR(AND(H17&lt;&gt;"Modificar",H17&lt;&gt;"Dados de Código"),M17="-",S17="-"),"-",IF(OR(I17="ALI",I17="AIE"),IF(LEFT(C17)&lt;&gt;"A","-",IF(AND(SUM(J17:L17)=0,SUM(O17:Q17)=0),IF(C17&lt;&gt;I17,0.4,"-"),IF(H17="Modificar",HLOOKUP(S17,{0,34,68,101;0.25,0.5,0.75,1},2),HLOOKUP(S17,{0,34,68,101;0.25,0.5,0.75,1},2)*0.1))),IF(OR(AND(I17&lt;&gt;"EE",I17&lt;&gt;"SE",I17&lt;&gt;"CE"),N17="-"),"-", IF(H17="Modificar",VLOOKUP(N17,{0,0.25,0.5,0.75;34,0.5,0.75,1;68,0.75,1,1;101,1,1,1},MATCH(S17,{0,68,101})+1),VLOOKUP(N17,{0,0.25,0.5,0.75;34,0.5,0.75,1;68,0.75,1,1;101,1,1,1},MATCH(S17,{0,68,101})+1)*0.1)))))))))))</f>
        <v>1</v>
      </c>
      <c r="U17" s="14" t="str">
        <f>IF(AND(H17="Modificar",D17+E17=0),F17,IF(OR(T17="-",AND(OR(H17="Perfectiva",H17="Somente teste",H17="Teste + Plano"),F17="-",I17=""),AND(H17="Eliminar",AND(C17&lt;&gt;I17,I17&lt;&gt;"-",I17&lt;&gt;""))),"-",IF(AND(H17="Criar",OR(AND(C17&lt;&gt;"",C17&lt;&gt;"-"),F17&lt;&gt;"-",I17="")),"X",IF(AND(A17&lt;&gt;"",H17&lt;&gt;"Eliminar",F17="-",T17&lt;&gt;0,J17+K17+L17+O17+P17+Q17=0),IF(OR(I17="ALI",I17="AIE"),"Baixo","Médio"),IF(AND(OR(M17="-",R17="-"),OR(H17="Criar",F17="-",AND(H17="Eliminar",J17+K17+L17+O17+P17+Q17&lt;&gt;0))),"-",IF(OR(H17="Perfectiva",H17="Eliminar",H17="Somente teste",H17="Teste + Plano"),F17,IF(OR(I17="ALI",I17="AIE"),IF(M17=0,"-",VLOOKUP(M17,{1,"Baixo","Baixo","Médio";2,"Baixo","Médio","Alto";6,"Médio","Alto","Alto"},MATCH(R17,{1,20,51})+1)),IF(I17="EE",VLOOKUP(M17,{0,"Baixo","Baixo","Médio";2,"Baixo","Médio","Alto";3,"Médio","Alto","Alto"},MATCH(R17,{1,5,16})+1),IF(OR(I17="SE",I17="CE"),IF(AND(M17=0,I17="CE"),IF(OR(H17="Perfectiva",H17="Eliminar",H17="Somente teste",H17="Teste + Plano",H17="Modificar"),F17,"-"),VLOOKUP(M17,{0,"Baixo","Baixo","Médio";2,"Baixo","Médio","Alto";4,"Médio","Alto","Alto"},MATCH(R17,{1,6,20})+1)),)))))))))</f>
        <v>Médio</v>
      </c>
      <c r="V17" s="14">
        <f>IF(OR(T17="-",U17="-",OR(AND(OR(I17="-",I17=""),OR(H17="Modificar",H17="Dados de Código")))),"-",IF(H17="Eliminar",G17*T17,IF(AND(OR(H17="Teste + Plano",H17="Somente teste"),F17&lt;&gt;"-"),(G17*0.5)*T17,T17*VLOOKUP(I17,{"ALI",7,10,15;"AIE",5,7,10;"EE",3,4,6;"SE",4,5,7;"CE",3,4,6},MATCH(U17,{"Baixo","Médio","Alto"},0)+1,FALSE))))</f>
        <v>5</v>
      </c>
      <c r="W17" s="15" t="s">
        <v>32</v>
      </c>
      <c r="X17" s="40"/>
      <c r="Y17" s="40"/>
      <c r="Z17" s="40"/>
      <c r="AA17" s="40"/>
      <c r="AB17" s="40"/>
      <c r="AC17" s="40"/>
      <c r="AD17" s="8"/>
      <c r="AE17" s="8"/>
    </row>
    <row r="18" spans="1:31" ht="39.950000000000003" customHeight="1" x14ac:dyDescent="0.2">
      <c r="A18" s="9" t="s">
        <v>99</v>
      </c>
      <c r="B18" s="9" t="s">
        <v>88</v>
      </c>
      <c r="C18" s="10"/>
      <c r="D18" s="11"/>
      <c r="E18" s="11"/>
      <c r="F18" s="12" t="str">
        <f>IF(OR(TRIM(A18)="",AND(E18=0,D18&lt;&gt;0)),"-",IF(AND(OR(C18="EE",C18="CE",C18="SE"),D18=0,E18=0), "Médio", IF(AND(OR(C18="ALI",C18="AIE"),D18=0,E18=0),"Baixo",IF(OR(C18="ALI",C18="AIE"),IF(D18=0,"-",VLOOKUP(D18,{1,"Baixo","Baixo","Médio";2,"Baixo","Médio","Alto";6,"Médio","Alto","Alto"},MATCH(E18,{1,20,51})+1)),IF(C18="EE",VLOOKUP(D18,{0,"Baixo","Baixo","Médio";2,"Baixo","Médio","Alto";3,"Médio","Alto","Alto"},MATCH(E18,{1,5,16})+1),IF(OR(C18="SE",C18="CE"),IF(AND(D18=0,C18="CE"),"-",VLOOKUP(D18,{0,"Baixo","Baixo","Médio";2,"Baixo","Médio","Alto";4,"Médio","Alto","Alto"},MATCH(E18,{1,6,20})+1)),"-"))))))</f>
        <v>-</v>
      </c>
      <c r="G18" s="13" t="str">
        <f>IF(F18="-","-",VLOOKUP(C18,{"ALI",7,10,15;"AIE",5,7,10;"EE",3,4,6;"SE",4,5,7;"CE",3,4,6},MATCH(F18,{"Baixo","Médio","Alto"},0)+1,FALSE))</f>
        <v>-</v>
      </c>
      <c r="H18" s="11" t="s">
        <v>77</v>
      </c>
      <c r="I18" s="15" t="s">
        <v>73</v>
      </c>
      <c r="J18" s="11"/>
      <c r="K18" s="11"/>
      <c r="L18" s="11"/>
      <c r="M18" s="12">
        <f t="shared" ref="M18" si="36">IF(OR(TRIM(A18)="",AND(OR(D18&lt;&gt;0,G18&lt;&gt;"-"),H18="Criar"),AND(G18="-",H18&lt;&gt;"Criar",H18&lt;&gt;"Dados de Código"),AND(H18="Eliminar",OR(C18&lt;&gt;I18,SUM(J18:L18)&lt;&gt;0)),AND(OR(H18="Modificar",H18="Perfectiva",H18="Somente teste",H18="Teste + Plano"),OR(AND(OR(C18="ALI",C18="AIE"),AND(I18&lt;&gt;"ALI",I18&lt;&gt;"AIE")),AND(OR(C18="EE",C18="SE",C18="CE"),AND(I18&lt;&gt;"EE",I18&lt;&gt;"SE",I18&lt;&gt;"CE")))),(D18+J18-L18)&lt;0,(D18-K18-L18)&lt;0,AND((D18+J18-L18)=0,I18&lt;&gt;"EE",I18&lt;&gt;"SE")),"-",IF(AND(H18&lt;&gt;"Perfectiva",H18&lt;&gt;"Somente teste",H18&lt;&gt;"Teste + Plano"),D18+J18-L18,D18))</f>
        <v>0</v>
      </c>
      <c r="N18" s="13" t="str">
        <f t="shared" ref="N18" si="37">IF(OR(M18="-",AND(H18&lt;&gt;"Modificar",H18&lt;&gt;"Dados de Código"),AND(H18="Dados de Código",OR(F18="-",D18+E18=0)),AND(I18&lt;&gt;"EE",I18&lt;&gt;"SE",I18&lt;&gt;"CE")),"-",IF(D18=0,IF(M18=0,0,100),INT(SUM(J18:L18)/D18*100)))</f>
        <v>-</v>
      </c>
      <c r="O18" s="11"/>
      <c r="P18" s="11"/>
      <c r="Q18" s="11"/>
      <c r="R18" s="12" t="str">
        <f t="shared" ref="R18" si="38">IF(OR(TRIM(A18)="",AND(OR(G18&lt;&gt;"-",E18&lt;&gt;0),H18="Criar"),AND(OR(G18="-", D18+E18=0),H18&lt;&gt;"Criar",H18&lt;&gt;"Dados de Código"), AND(H18="Eliminar",OR(C18&lt;&gt;I18,SUM(O18:Q18)&lt;&gt;0)),AND(OR(H18="Modificar",H18="Perfectiva",H18="Somente teste",H18="Teste + Plano"),OR(AND(OR(C18="ALI",C18="AIE"),AND(I18&lt;&gt;"ALI",I18&lt;&gt;"AIE")),AND(OR(C18="EE",C18="SE",C18="CE"),AND(I18&lt;&gt;"EE",I18&lt;&gt;"SE",I18&lt;&gt;"CE")))),(E18+O18-Q18)&lt;=0,(E18-P18-Q18)&lt;0),"-",IF(AND(H18&lt;&gt;"Perfectiva",H18&lt;&gt;"Somente teste",H18&lt;&gt;"Teste + Plano"),E18+O18-Q18,E18))</f>
        <v>-</v>
      </c>
      <c r="S18" s="13" t="str">
        <f t="shared" ref="S18" si="39">IF(OR(R18="-",AND(H18&lt;&gt;"Modificar",H18&lt;&gt;"Dados de Código"),AND(H18="Dados de Código",OR(F18="-",D18+E18=0))),"-",INT(SUM(O18:Q18)/E18*100))</f>
        <v>-</v>
      </c>
      <c r="T18" s="14">
        <f>IF(AND(H18="Modificar",SUM(J18:R18)=0),0.25,IF(AND(H18="Dados de Código",AND(D18+E18=0,OR(C18="-",C18=""))),0.1,IF(H18="Eliminar",0.4,IF(H18="Perfectiva",0.3,IF(H18="Somente teste",0.15,IF(H18="Teste + Plano",0.2,IF(H18="Criar",1,IF(OR(AND(H18&lt;&gt;"Modificar",H18&lt;&gt;"Dados de Código"),M18="-",S18="-"),"-",IF(OR(I18="ALI",I18="AIE"),IF(LEFT(C18)&lt;&gt;"A","-",IF(AND(SUM(J18:L18)=0,SUM(O18:Q18)=0),IF(C18&lt;&gt;I18,0.4,"-"),IF(H18="Modificar",HLOOKUP(S18,{0,34,68,101;0.25,0.5,0.75,1},2),HLOOKUP(S18,{0,34,68,101;0.25,0.5,0.75,1},2)*0.1))),IF(OR(AND(I18&lt;&gt;"EE",I18&lt;&gt;"SE",I18&lt;&gt;"CE"),N18="-"),"-", IF(H18="Modificar",VLOOKUP(N18,{0,0.25,0.5,0.75;34,0.5,0.75,1;68,0.75,1,1;101,1,1,1},MATCH(S18,{0,68,101})+1),VLOOKUP(N18,{0,0.25,0.5,0.75;34,0.5,0.75,1;68,0.75,1,1;101,1,1,1},MATCH(S18,{0,68,101})+1)*0.1)))))))))))</f>
        <v>1</v>
      </c>
      <c r="U18" s="14" t="str">
        <f>IF(AND(H18="Modificar",D18+E18=0),F18,IF(OR(T18="-",AND(OR(H18="Perfectiva",H18="Somente teste",H18="Teste + Plano"),F18="-",I18=""),AND(H18="Eliminar",AND(C18&lt;&gt;I18,I18&lt;&gt;"-",I18&lt;&gt;""))),"-",IF(AND(H18="Criar",OR(AND(C18&lt;&gt;"",C18&lt;&gt;"-"),F18&lt;&gt;"-",I18="")),"X",IF(AND(A18&lt;&gt;"",H18&lt;&gt;"Eliminar",F18="-",T18&lt;&gt;0,J18+K18+L18+O18+P18+Q18=0),IF(OR(I18="ALI",I18="AIE"),"Baixo","Médio"),IF(AND(OR(M18="-",R18="-"),OR(H18="Criar",F18="-",AND(H18="Eliminar",J18+K18+L18+O18+P18+Q18&lt;&gt;0))),"-",IF(OR(H18="Perfectiva",H18="Eliminar",H18="Somente teste",H18="Teste + Plano"),F18,IF(OR(I18="ALI",I18="AIE"),IF(M18=0,"-",VLOOKUP(M18,{1,"Baixo","Baixo","Médio";2,"Baixo","Médio","Alto";6,"Médio","Alto","Alto"},MATCH(R18,{1,20,51})+1)),IF(I18="EE",VLOOKUP(M18,{0,"Baixo","Baixo","Médio";2,"Baixo","Médio","Alto";3,"Médio","Alto","Alto"},MATCH(R18,{1,5,16})+1),IF(OR(I18="SE",I18="CE"),IF(AND(M18=0,I18="CE"),IF(OR(H18="Perfectiva",H18="Eliminar",H18="Somente teste",H18="Teste + Plano",H18="Modificar"),F18,"-"),VLOOKUP(M18,{0,"Baixo","Baixo","Médio";2,"Baixo","Médio","Alto";4,"Médio","Alto","Alto"},MATCH(R18,{1,6,20})+1)),)))))))))</f>
        <v>Médio</v>
      </c>
      <c r="V18" s="14">
        <f>IF(OR(T18="-",U18="-",OR(AND(OR(I18="-",I18=""),OR(H18="Modificar",H18="Dados de Código")))),"-",IF(H18="Eliminar",G18*T18,IF(AND(OR(H18="Teste + Plano",H18="Somente teste"),F18&lt;&gt;"-"),(G18*0.5)*T18,T18*VLOOKUP(I18,{"ALI",7,10,15;"AIE",5,7,10;"EE",3,4,6;"SE",4,5,7;"CE",3,4,6},MATCH(U18,{"Baixo","Médio","Alto"},0)+1,FALSE))))</f>
        <v>5</v>
      </c>
      <c r="W18" s="15" t="s">
        <v>32</v>
      </c>
      <c r="X18" s="40"/>
      <c r="Y18" s="40"/>
      <c r="Z18" s="40"/>
      <c r="AA18" s="40"/>
      <c r="AB18" s="40"/>
      <c r="AC18" s="40"/>
      <c r="AD18" s="8"/>
      <c r="AE18" s="8"/>
    </row>
    <row r="19" spans="1:31" ht="39.950000000000003" customHeight="1" x14ac:dyDescent="0.2">
      <c r="A19" s="9" t="s">
        <v>100</v>
      </c>
      <c r="B19" s="9" t="s">
        <v>88</v>
      </c>
      <c r="C19" s="10"/>
      <c r="D19" s="11"/>
      <c r="E19" s="11"/>
      <c r="F19" s="12" t="str">
        <f>IF(OR(TRIM(A19)="",AND(E19=0,D19&lt;&gt;0)),"-",IF(AND(OR(C19="EE",C19="CE",C19="SE"),D19=0,E19=0), "Médio", IF(AND(OR(C19="ALI",C19="AIE"),D19=0,E19=0),"Baixo",IF(OR(C19="ALI",C19="AIE"),IF(D19=0,"-",VLOOKUP(D19,{1,"Baixo","Baixo","Médio";2,"Baixo","Médio","Alto";6,"Médio","Alto","Alto"},MATCH(E19,{1,20,51})+1)),IF(C19="EE",VLOOKUP(D19,{0,"Baixo","Baixo","Médio";2,"Baixo","Médio","Alto";3,"Médio","Alto","Alto"},MATCH(E19,{1,5,16})+1),IF(OR(C19="SE",C19="CE"),IF(AND(D19=0,C19="CE"),"-",VLOOKUP(D19,{0,"Baixo","Baixo","Médio";2,"Baixo","Médio","Alto";4,"Médio","Alto","Alto"},MATCH(E19,{1,6,20})+1)),"-"))))))</f>
        <v>-</v>
      </c>
      <c r="G19" s="13" t="str">
        <f>IF(F19="-","-",VLOOKUP(C19,{"ALI",7,10,15;"AIE",5,7,10;"EE",3,4,6;"SE",4,5,7;"CE",3,4,6},MATCH(F19,{"Baixo","Médio","Alto"},0)+1,FALSE))</f>
        <v>-</v>
      </c>
      <c r="H19" s="11" t="s">
        <v>77</v>
      </c>
      <c r="I19" s="15" t="s">
        <v>73</v>
      </c>
      <c r="J19" s="11"/>
      <c r="K19" s="11"/>
      <c r="L19" s="11"/>
      <c r="M19" s="12">
        <f t="shared" ref="M19" si="40">IF(OR(TRIM(A19)="",AND(OR(D19&lt;&gt;0,G19&lt;&gt;"-"),H19="Criar"),AND(G19="-",H19&lt;&gt;"Criar",H19&lt;&gt;"Dados de Código"),AND(H19="Eliminar",OR(C19&lt;&gt;I19,SUM(J19:L19)&lt;&gt;0)),AND(OR(H19="Modificar",H19="Perfectiva",H19="Somente teste",H19="Teste + Plano"),OR(AND(OR(C19="ALI",C19="AIE"),AND(I19&lt;&gt;"ALI",I19&lt;&gt;"AIE")),AND(OR(C19="EE",C19="SE",C19="CE"),AND(I19&lt;&gt;"EE",I19&lt;&gt;"SE",I19&lt;&gt;"CE")))),(D19+J19-L19)&lt;0,(D19-K19-L19)&lt;0,AND((D19+J19-L19)=0,I19&lt;&gt;"EE",I19&lt;&gt;"SE")),"-",IF(AND(H19&lt;&gt;"Perfectiva",H19&lt;&gt;"Somente teste",H19&lt;&gt;"Teste + Plano"),D19+J19-L19,D19))</f>
        <v>0</v>
      </c>
      <c r="N19" s="13" t="str">
        <f t="shared" ref="N19" si="41">IF(OR(M19="-",AND(H19&lt;&gt;"Modificar",H19&lt;&gt;"Dados de Código"),AND(H19="Dados de Código",OR(F19="-",D19+E19=0)),AND(I19&lt;&gt;"EE",I19&lt;&gt;"SE",I19&lt;&gt;"CE")),"-",IF(D19=0,IF(M19=0,0,100),INT(SUM(J19:L19)/D19*100)))</f>
        <v>-</v>
      </c>
      <c r="O19" s="11"/>
      <c r="P19" s="11"/>
      <c r="Q19" s="11"/>
      <c r="R19" s="12" t="str">
        <f t="shared" ref="R19" si="42">IF(OR(TRIM(A19)="",AND(OR(G19&lt;&gt;"-",E19&lt;&gt;0),H19="Criar"),AND(OR(G19="-", D19+E19=0),H19&lt;&gt;"Criar",H19&lt;&gt;"Dados de Código"), AND(H19="Eliminar",OR(C19&lt;&gt;I19,SUM(O19:Q19)&lt;&gt;0)),AND(OR(H19="Modificar",H19="Perfectiva",H19="Somente teste",H19="Teste + Plano"),OR(AND(OR(C19="ALI",C19="AIE"),AND(I19&lt;&gt;"ALI",I19&lt;&gt;"AIE")),AND(OR(C19="EE",C19="SE",C19="CE"),AND(I19&lt;&gt;"EE",I19&lt;&gt;"SE",I19&lt;&gt;"CE")))),(E19+O19-Q19)&lt;=0,(E19-P19-Q19)&lt;0),"-",IF(AND(H19&lt;&gt;"Perfectiva",H19&lt;&gt;"Somente teste",H19&lt;&gt;"Teste + Plano"),E19+O19-Q19,E19))</f>
        <v>-</v>
      </c>
      <c r="S19" s="13" t="str">
        <f t="shared" ref="S19" si="43">IF(OR(R19="-",AND(H19&lt;&gt;"Modificar",H19&lt;&gt;"Dados de Código"),AND(H19="Dados de Código",OR(F19="-",D19+E19=0))),"-",INT(SUM(O19:Q19)/E19*100))</f>
        <v>-</v>
      </c>
      <c r="T19" s="14">
        <f>IF(AND(H19="Modificar",SUM(J19:R19)=0),0.25,IF(AND(H19="Dados de Código",AND(D19+E19=0,OR(C19="-",C19=""))),0.1,IF(H19="Eliminar",0.4,IF(H19="Perfectiva",0.3,IF(H19="Somente teste",0.15,IF(H19="Teste + Plano",0.2,IF(H19="Criar",1,IF(OR(AND(H19&lt;&gt;"Modificar",H19&lt;&gt;"Dados de Código"),M19="-",S19="-"),"-",IF(OR(I19="ALI",I19="AIE"),IF(LEFT(C19)&lt;&gt;"A","-",IF(AND(SUM(J19:L19)=0,SUM(O19:Q19)=0),IF(C19&lt;&gt;I19,0.4,"-"),IF(H19="Modificar",HLOOKUP(S19,{0,34,68,101;0.25,0.5,0.75,1},2),HLOOKUP(S19,{0,34,68,101;0.25,0.5,0.75,1},2)*0.1))),IF(OR(AND(I19&lt;&gt;"EE",I19&lt;&gt;"SE",I19&lt;&gt;"CE"),N19="-"),"-", IF(H19="Modificar",VLOOKUP(N19,{0,0.25,0.5,0.75;34,0.5,0.75,1;68,0.75,1,1;101,1,1,1},MATCH(S19,{0,68,101})+1),VLOOKUP(N19,{0,0.25,0.5,0.75;34,0.5,0.75,1;68,0.75,1,1;101,1,1,1},MATCH(S19,{0,68,101})+1)*0.1)))))))))))</f>
        <v>1</v>
      </c>
      <c r="U19" s="14" t="str">
        <f>IF(AND(H19="Modificar",D19+E19=0),F19,IF(OR(T19="-",AND(OR(H19="Perfectiva",H19="Somente teste",H19="Teste + Plano"),F19="-",I19=""),AND(H19="Eliminar",AND(C19&lt;&gt;I19,I19&lt;&gt;"-",I19&lt;&gt;""))),"-",IF(AND(H19="Criar",OR(AND(C19&lt;&gt;"",C19&lt;&gt;"-"),F19&lt;&gt;"-",I19="")),"X",IF(AND(A19&lt;&gt;"",H19&lt;&gt;"Eliminar",F19="-",T19&lt;&gt;0,J19+K19+L19+O19+P19+Q19=0),IF(OR(I19="ALI",I19="AIE"),"Baixo","Médio"),IF(AND(OR(M19="-",R19="-"),OR(H19="Criar",F19="-",AND(H19="Eliminar",J19+K19+L19+O19+P19+Q19&lt;&gt;0))),"-",IF(OR(H19="Perfectiva",H19="Eliminar",H19="Somente teste",H19="Teste + Plano"),F19,IF(OR(I19="ALI",I19="AIE"),IF(M19=0,"-",VLOOKUP(M19,{1,"Baixo","Baixo","Médio";2,"Baixo","Médio","Alto";6,"Médio","Alto","Alto"},MATCH(R19,{1,20,51})+1)),IF(I19="EE",VLOOKUP(M19,{0,"Baixo","Baixo","Médio";2,"Baixo","Médio","Alto";3,"Médio","Alto","Alto"},MATCH(R19,{1,5,16})+1),IF(OR(I19="SE",I19="CE"),IF(AND(M19=0,I19="CE"),IF(OR(H19="Perfectiva",H19="Eliminar",H19="Somente teste",H19="Teste + Plano",H19="Modificar"),F19,"-"),VLOOKUP(M19,{0,"Baixo","Baixo","Médio";2,"Baixo","Médio","Alto";4,"Médio","Alto","Alto"},MATCH(R19,{1,6,20})+1)),)))))))))</f>
        <v>Médio</v>
      </c>
      <c r="V19" s="14">
        <f>IF(OR(T19="-",U19="-",OR(AND(OR(I19="-",I19=""),OR(H19="Modificar",H19="Dados de Código")))),"-",IF(H19="Eliminar",G19*T19,IF(AND(OR(H19="Teste + Plano",H19="Somente teste"),F19&lt;&gt;"-"),(G19*0.5)*T19,T19*VLOOKUP(I19,{"ALI",7,10,15;"AIE",5,7,10;"EE",3,4,6;"SE",4,5,7;"CE",3,4,6},MATCH(U19,{"Baixo","Médio","Alto"},0)+1,FALSE))))</f>
        <v>5</v>
      </c>
      <c r="W19" s="15" t="s">
        <v>32</v>
      </c>
      <c r="X19" s="40"/>
      <c r="Y19" s="40"/>
      <c r="Z19" s="40"/>
      <c r="AA19" s="40"/>
      <c r="AB19" s="40"/>
      <c r="AC19" s="40"/>
      <c r="AD19" s="8"/>
      <c r="AE19" s="8"/>
    </row>
    <row r="20" spans="1:31" ht="39.950000000000003" customHeight="1" x14ac:dyDescent="0.2">
      <c r="A20" s="9" t="s">
        <v>101</v>
      </c>
      <c r="B20" s="9" t="s">
        <v>88</v>
      </c>
      <c r="C20" s="10"/>
      <c r="D20" s="11"/>
      <c r="E20" s="11"/>
      <c r="F20" s="12" t="str">
        <f>IF(OR(TRIM(A20)="",AND(E20=0,D20&lt;&gt;0)),"-",IF(AND(OR(C20="EE",C20="CE",C20="SE"),D20=0,E20=0), "Médio", IF(AND(OR(C20="ALI",C20="AIE"),D20=0,E20=0),"Baixo",IF(OR(C20="ALI",C20="AIE"),IF(D20=0,"-",VLOOKUP(D20,{1,"Baixo","Baixo","Médio";2,"Baixo","Médio","Alto";6,"Médio","Alto","Alto"},MATCH(E20,{1,20,51})+1)),IF(C20="EE",VLOOKUP(D20,{0,"Baixo","Baixo","Médio";2,"Baixo","Médio","Alto";3,"Médio","Alto","Alto"},MATCH(E20,{1,5,16})+1),IF(OR(C20="SE",C20="CE"),IF(AND(D20=0,C20="CE"),"-",VLOOKUP(D20,{0,"Baixo","Baixo","Médio";2,"Baixo","Médio","Alto";4,"Médio","Alto","Alto"},MATCH(E20,{1,6,20})+1)),"-"))))))</f>
        <v>-</v>
      </c>
      <c r="G20" s="13" t="str">
        <f>IF(F20="-","-",VLOOKUP(C20,{"ALI",7,10,15;"AIE",5,7,10;"EE",3,4,6;"SE",4,5,7;"CE",3,4,6},MATCH(F20,{"Baixo","Médio","Alto"},0)+1,FALSE))</f>
        <v>-</v>
      </c>
      <c r="H20" s="11" t="s">
        <v>77</v>
      </c>
      <c r="I20" s="15" t="s">
        <v>73</v>
      </c>
      <c r="J20" s="11"/>
      <c r="K20" s="11"/>
      <c r="L20" s="11"/>
      <c r="M20" s="12">
        <f t="shared" ref="M20" si="44">IF(OR(TRIM(A20)="",AND(OR(D20&lt;&gt;0,G20&lt;&gt;"-"),H20="Criar"),AND(G20="-",H20&lt;&gt;"Criar",H20&lt;&gt;"Dados de Código"),AND(H20="Eliminar",OR(C20&lt;&gt;I20,SUM(J20:L20)&lt;&gt;0)),AND(OR(H20="Modificar",H20="Perfectiva",H20="Somente teste",H20="Teste + Plano"),OR(AND(OR(C20="ALI",C20="AIE"),AND(I20&lt;&gt;"ALI",I20&lt;&gt;"AIE")),AND(OR(C20="EE",C20="SE",C20="CE"),AND(I20&lt;&gt;"EE",I20&lt;&gt;"SE",I20&lt;&gt;"CE")))),(D20+J20-L20)&lt;0,(D20-K20-L20)&lt;0,AND((D20+J20-L20)=0,I20&lt;&gt;"EE",I20&lt;&gt;"SE")),"-",IF(AND(H20&lt;&gt;"Perfectiva",H20&lt;&gt;"Somente teste",H20&lt;&gt;"Teste + Plano"),D20+J20-L20,D20))</f>
        <v>0</v>
      </c>
      <c r="N20" s="13" t="str">
        <f t="shared" ref="N20" si="45">IF(OR(M20="-",AND(H20&lt;&gt;"Modificar",H20&lt;&gt;"Dados de Código"),AND(H20="Dados de Código",OR(F20="-",D20+E20=0)),AND(I20&lt;&gt;"EE",I20&lt;&gt;"SE",I20&lt;&gt;"CE")),"-",IF(D20=0,IF(M20=0,0,100),INT(SUM(J20:L20)/D20*100)))</f>
        <v>-</v>
      </c>
      <c r="O20" s="11"/>
      <c r="P20" s="11"/>
      <c r="Q20" s="11"/>
      <c r="R20" s="12" t="str">
        <f t="shared" ref="R20" si="46">IF(OR(TRIM(A20)="",AND(OR(G20&lt;&gt;"-",E20&lt;&gt;0),H20="Criar"),AND(OR(G20="-", D20+E20=0),H20&lt;&gt;"Criar",H20&lt;&gt;"Dados de Código"), AND(H20="Eliminar",OR(C20&lt;&gt;I20,SUM(O20:Q20)&lt;&gt;0)),AND(OR(H20="Modificar",H20="Perfectiva",H20="Somente teste",H20="Teste + Plano"),OR(AND(OR(C20="ALI",C20="AIE"),AND(I20&lt;&gt;"ALI",I20&lt;&gt;"AIE")),AND(OR(C20="EE",C20="SE",C20="CE"),AND(I20&lt;&gt;"EE",I20&lt;&gt;"SE",I20&lt;&gt;"CE")))),(E20+O20-Q20)&lt;=0,(E20-P20-Q20)&lt;0),"-",IF(AND(H20&lt;&gt;"Perfectiva",H20&lt;&gt;"Somente teste",H20&lt;&gt;"Teste + Plano"),E20+O20-Q20,E20))</f>
        <v>-</v>
      </c>
      <c r="S20" s="13" t="str">
        <f t="shared" ref="S20" si="47">IF(OR(R20="-",AND(H20&lt;&gt;"Modificar",H20&lt;&gt;"Dados de Código"),AND(H20="Dados de Código",OR(F20="-",D20+E20=0))),"-",INT(SUM(O20:Q20)/E20*100))</f>
        <v>-</v>
      </c>
      <c r="T20" s="14">
        <f>IF(AND(H20="Modificar",SUM(J20:R20)=0),0.25,IF(AND(H20="Dados de Código",AND(D20+E20=0,OR(C20="-",C20=""))),0.1,IF(H20="Eliminar",0.4,IF(H20="Perfectiva",0.3,IF(H20="Somente teste",0.15,IF(H20="Teste + Plano",0.2,IF(H20="Criar",1,IF(OR(AND(H20&lt;&gt;"Modificar",H20&lt;&gt;"Dados de Código"),M20="-",S20="-"),"-",IF(OR(I20="ALI",I20="AIE"),IF(LEFT(C20)&lt;&gt;"A","-",IF(AND(SUM(J20:L20)=0,SUM(O20:Q20)=0),IF(C20&lt;&gt;I20,0.4,"-"),IF(H20="Modificar",HLOOKUP(S20,{0,34,68,101;0.25,0.5,0.75,1},2),HLOOKUP(S20,{0,34,68,101;0.25,0.5,0.75,1},2)*0.1))),IF(OR(AND(I20&lt;&gt;"EE",I20&lt;&gt;"SE",I20&lt;&gt;"CE"),N20="-"),"-", IF(H20="Modificar",VLOOKUP(N20,{0,0.25,0.5,0.75;34,0.5,0.75,1;68,0.75,1,1;101,1,1,1},MATCH(S20,{0,68,101})+1),VLOOKUP(N20,{0,0.25,0.5,0.75;34,0.5,0.75,1;68,0.75,1,1;101,1,1,1},MATCH(S20,{0,68,101})+1)*0.1)))))))))))</f>
        <v>1</v>
      </c>
      <c r="U20" s="14" t="str">
        <f>IF(AND(H20="Modificar",D20+E20=0),F20,IF(OR(T20="-",AND(OR(H20="Perfectiva",H20="Somente teste",H20="Teste + Plano"),F20="-",I20=""),AND(H20="Eliminar",AND(C20&lt;&gt;I20,I20&lt;&gt;"-",I20&lt;&gt;""))),"-",IF(AND(H20="Criar",OR(AND(C20&lt;&gt;"",C20&lt;&gt;"-"),F20&lt;&gt;"-",I20="")),"X",IF(AND(A20&lt;&gt;"",H20&lt;&gt;"Eliminar",F20="-",T20&lt;&gt;0,J20+K20+L20+O20+P20+Q20=0),IF(OR(I20="ALI",I20="AIE"),"Baixo","Médio"),IF(AND(OR(M20="-",R20="-"),OR(H20="Criar",F20="-",AND(H20="Eliminar",J20+K20+L20+O20+P20+Q20&lt;&gt;0))),"-",IF(OR(H20="Perfectiva",H20="Eliminar",H20="Somente teste",H20="Teste + Plano"),F20,IF(OR(I20="ALI",I20="AIE"),IF(M20=0,"-",VLOOKUP(M20,{1,"Baixo","Baixo","Médio";2,"Baixo","Médio","Alto";6,"Médio","Alto","Alto"},MATCH(R20,{1,20,51})+1)),IF(I20="EE",VLOOKUP(M20,{0,"Baixo","Baixo","Médio";2,"Baixo","Médio","Alto";3,"Médio","Alto","Alto"},MATCH(R20,{1,5,16})+1),IF(OR(I20="SE",I20="CE"),IF(AND(M20=0,I20="CE"),IF(OR(H20="Perfectiva",H20="Eliminar",H20="Somente teste",H20="Teste + Plano",H20="Modificar"),F20,"-"),VLOOKUP(M20,{0,"Baixo","Baixo","Médio";2,"Baixo","Médio","Alto";4,"Médio","Alto","Alto"},MATCH(R20,{1,6,20})+1)),)))))))))</f>
        <v>Médio</v>
      </c>
      <c r="V20" s="14">
        <f>IF(OR(T20="-",U20="-",OR(AND(OR(I20="-",I20=""),OR(H20="Modificar",H20="Dados de Código")))),"-",IF(H20="Eliminar",G20*T20,IF(AND(OR(H20="Teste + Plano",H20="Somente teste"),F20&lt;&gt;"-"),(G20*0.5)*T20,T20*VLOOKUP(I20,{"ALI",7,10,15;"AIE",5,7,10;"EE",3,4,6;"SE",4,5,7;"CE",3,4,6},MATCH(U20,{"Baixo","Médio","Alto"},0)+1,FALSE))))</f>
        <v>5</v>
      </c>
      <c r="W20" s="15" t="s">
        <v>32</v>
      </c>
      <c r="X20" s="40"/>
      <c r="Y20" s="40"/>
      <c r="Z20" s="40"/>
      <c r="AA20" s="40"/>
      <c r="AB20" s="40"/>
      <c r="AC20" s="40"/>
      <c r="AD20" s="8"/>
      <c r="AE20" s="8"/>
    </row>
    <row r="21" spans="1:31" ht="39.950000000000003" customHeight="1" x14ac:dyDescent="0.2">
      <c r="A21" s="9" t="s">
        <v>102</v>
      </c>
      <c r="B21" s="9" t="s">
        <v>88</v>
      </c>
      <c r="C21" s="10"/>
      <c r="D21" s="11"/>
      <c r="E21" s="11"/>
      <c r="F21" s="12" t="str">
        <f>IF(OR(TRIM(A21)="",AND(E21=0,D21&lt;&gt;0)),"-",IF(AND(OR(C21="EE",C21="CE",C21="SE"),D21=0,E21=0), "Médio", IF(AND(OR(C21="ALI",C21="AIE"),D21=0,E21=0),"Baixo",IF(OR(C21="ALI",C21="AIE"),IF(D21=0,"-",VLOOKUP(D21,{1,"Baixo","Baixo","Médio";2,"Baixo","Médio","Alto";6,"Médio","Alto","Alto"},MATCH(E21,{1,20,51})+1)),IF(C21="EE",VLOOKUP(D21,{0,"Baixo","Baixo","Médio";2,"Baixo","Médio","Alto";3,"Médio","Alto","Alto"},MATCH(E21,{1,5,16})+1),IF(OR(C21="SE",C21="CE"),IF(AND(D21=0,C21="CE"),"-",VLOOKUP(D21,{0,"Baixo","Baixo","Médio";2,"Baixo","Médio","Alto";4,"Médio","Alto","Alto"},MATCH(E21,{1,6,20})+1)),"-"))))))</f>
        <v>-</v>
      </c>
      <c r="G21" s="13" t="str">
        <f>IF(F21="-","-",VLOOKUP(C21,{"ALI",7,10,15;"AIE",5,7,10;"EE",3,4,6;"SE",4,5,7;"CE",3,4,6},MATCH(F21,{"Baixo","Médio","Alto"},0)+1,FALSE))</f>
        <v>-</v>
      </c>
      <c r="H21" s="11" t="s">
        <v>77</v>
      </c>
      <c r="I21" s="15" t="s">
        <v>73</v>
      </c>
      <c r="J21" s="11"/>
      <c r="K21" s="11"/>
      <c r="L21" s="11"/>
      <c r="M21" s="12">
        <f t="shared" ref="M21" si="48">IF(OR(TRIM(A21)="",AND(OR(D21&lt;&gt;0,G21&lt;&gt;"-"),H21="Criar"),AND(G21="-",H21&lt;&gt;"Criar",H21&lt;&gt;"Dados de Código"),AND(H21="Eliminar",OR(C21&lt;&gt;I21,SUM(J21:L21)&lt;&gt;0)),AND(OR(H21="Modificar",H21="Perfectiva",H21="Somente teste",H21="Teste + Plano"),OR(AND(OR(C21="ALI",C21="AIE"),AND(I21&lt;&gt;"ALI",I21&lt;&gt;"AIE")),AND(OR(C21="EE",C21="SE",C21="CE"),AND(I21&lt;&gt;"EE",I21&lt;&gt;"SE",I21&lt;&gt;"CE")))),(D21+J21-L21)&lt;0,(D21-K21-L21)&lt;0,AND((D21+J21-L21)=0,I21&lt;&gt;"EE",I21&lt;&gt;"SE")),"-",IF(AND(H21&lt;&gt;"Perfectiva",H21&lt;&gt;"Somente teste",H21&lt;&gt;"Teste + Plano"),D21+J21-L21,D21))</f>
        <v>0</v>
      </c>
      <c r="N21" s="13" t="str">
        <f t="shared" ref="N21" si="49">IF(OR(M21="-",AND(H21&lt;&gt;"Modificar",H21&lt;&gt;"Dados de Código"),AND(H21="Dados de Código",OR(F21="-",D21+E21=0)),AND(I21&lt;&gt;"EE",I21&lt;&gt;"SE",I21&lt;&gt;"CE")),"-",IF(D21=0,IF(M21=0,0,100),INT(SUM(J21:L21)/D21*100)))</f>
        <v>-</v>
      </c>
      <c r="O21" s="11"/>
      <c r="P21" s="11"/>
      <c r="Q21" s="11"/>
      <c r="R21" s="12" t="str">
        <f t="shared" ref="R21" si="50">IF(OR(TRIM(A21)="",AND(OR(G21&lt;&gt;"-",E21&lt;&gt;0),H21="Criar"),AND(OR(G21="-", D21+E21=0),H21&lt;&gt;"Criar",H21&lt;&gt;"Dados de Código"), AND(H21="Eliminar",OR(C21&lt;&gt;I21,SUM(O21:Q21)&lt;&gt;0)),AND(OR(H21="Modificar",H21="Perfectiva",H21="Somente teste",H21="Teste + Plano"),OR(AND(OR(C21="ALI",C21="AIE"),AND(I21&lt;&gt;"ALI",I21&lt;&gt;"AIE")),AND(OR(C21="EE",C21="SE",C21="CE"),AND(I21&lt;&gt;"EE",I21&lt;&gt;"SE",I21&lt;&gt;"CE")))),(E21+O21-Q21)&lt;=0,(E21-P21-Q21)&lt;0),"-",IF(AND(H21&lt;&gt;"Perfectiva",H21&lt;&gt;"Somente teste",H21&lt;&gt;"Teste + Plano"),E21+O21-Q21,E21))</f>
        <v>-</v>
      </c>
      <c r="S21" s="13" t="str">
        <f t="shared" ref="S21" si="51">IF(OR(R21="-",AND(H21&lt;&gt;"Modificar",H21&lt;&gt;"Dados de Código"),AND(H21="Dados de Código",OR(F21="-",D21+E21=0))),"-",INT(SUM(O21:Q21)/E21*100))</f>
        <v>-</v>
      </c>
      <c r="T21" s="14">
        <f>IF(AND(H21="Modificar",SUM(J21:R21)=0),0.25,IF(AND(H21="Dados de Código",AND(D21+E21=0,OR(C21="-",C21=""))),0.1,IF(H21="Eliminar",0.4,IF(H21="Perfectiva",0.3,IF(H21="Somente teste",0.15,IF(H21="Teste + Plano",0.2,IF(H21="Criar",1,IF(OR(AND(H21&lt;&gt;"Modificar",H21&lt;&gt;"Dados de Código"),M21="-",S21="-"),"-",IF(OR(I21="ALI",I21="AIE"),IF(LEFT(C21)&lt;&gt;"A","-",IF(AND(SUM(J21:L21)=0,SUM(O21:Q21)=0),IF(C21&lt;&gt;I21,0.4,"-"),IF(H21="Modificar",HLOOKUP(S21,{0,34,68,101;0.25,0.5,0.75,1},2),HLOOKUP(S21,{0,34,68,101;0.25,0.5,0.75,1},2)*0.1))),IF(OR(AND(I21&lt;&gt;"EE",I21&lt;&gt;"SE",I21&lt;&gt;"CE"),N21="-"),"-", IF(H21="Modificar",VLOOKUP(N21,{0,0.25,0.5,0.75;34,0.5,0.75,1;68,0.75,1,1;101,1,1,1},MATCH(S21,{0,68,101})+1),VLOOKUP(N21,{0,0.25,0.5,0.75;34,0.5,0.75,1;68,0.75,1,1;101,1,1,1},MATCH(S21,{0,68,101})+1)*0.1)))))))))))</f>
        <v>1</v>
      </c>
      <c r="U21" s="14" t="str">
        <f>IF(AND(H21="Modificar",D21+E21=0),F21,IF(OR(T21="-",AND(OR(H21="Perfectiva",H21="Somente teste",H21="Teste + Plano"),F21="-",I21=""),AND(H21="Eliminar",AND(C21&lt;&gt;I21,I21&lt;&gt;"-",I21&lt;&gt;""))),"-",IF(AND(H21="Criar",OR(AND(C21&lt;&gt;"",C21&lt;&gt;"-"),F21&lt;&gt;"-",I21="")),"X",IF(AND(A21&lt;&gt;"",H21&lt;&gt;"Eliminar",F21="-",T21&lt;&gt;0,J21+K21+L21+O21+P21+Q21=0),IF(OR(I21="ALI",I21="AIE"),"Baixo","Médio"),IF(AND(OR(M21="-",R21="-"),OR(H21="Criar",F21="-",AND(H21="Eliminar",J21+K21+L21+O21+P21+Q21&lt;&gt;0))),"-",IF(OR(H21="Perfectiva",H21="Eliminar",H21="Somente teste",H21="Teste + Plano"),F21,IF(OR(I21="ALI",I21="AIE"),IF(M21=0,"-",VLOOKUP(M21,{1,"Baixo","Baixo","Médio";2,"Baixo","Médio","Alto";6,"Médio","Alto","Alto"},MATCH(R21,{1,20,51})+1)),IF(I21="EE",VLOOKUP(M21,{0,"Baixo","Baixo","Médio";2,"Baixo","Médio","Alto";3,"Médio","Alto","Alto"},MATCH(R21,{1,5,16})+1),IF(OR(I21="SE",I21="CE"),IF(AND(M21=0,I21="CE"),IF(OR(H21="Perfectiva",H21="Eliminar",H21="Somente teste",H21="Teste + Plano",H21="Modificar"),F21,"-"),VLOOKUP(M21,{0,"Baixo","Baixo","Médio";2,"Baixo","Médio","Alto";4,"Médio","Alto","Alto"},MATCH(R21,{1,6,20})+1)),)))))))))</f>
        <v>Médio</v>
      </c>
      <c r="V21" s="14">
        <f>IF(OR(T21="-",U21="-",OR(AND(OR(I21="-",I21=""),OR(H21="Modificar",H21="Dados de Código")))),"-",IF(H21="Eliminar",G21*T21,IF(AND(OR(H21="Teste + Plano",H21="Somente teste"),F21&lt;&gt;"-"),(G21*0.5)*T21,T21*VLOOKUP(I21,{"ALI",7,10,15;"AIE",5,7,10;"EE",3,4,6;"SE",4,5,7;"CE",3,4,6},MATCH(U21,{"Baixo","Médio","Alto"},0)+1,FALSE))))</f>
        <v>5</v>
      </c>
      <c r="W21" s="15" t="s">
        <v>32</v>
      </c>
      <c r="X21" s="40"/>
      <c r="Y21" s="40"/>
      <c r="Z21" s="40"/>
      <c r="AA21" s="40"/>
      <c r="AB21" s="40"/>
      <c r="AC21" s="40"/>
      <c r="AD21" s="8"/>
      <c r="AE21" s="8"/>
    </row>
    <row r="22" spans="1:31" ht="39.950000000000003" customHeight="1" x14ac:dyDescent="0.2">
      <c r="A22" s="9" t="s">
        <v>103</v>
      </c>
      <c r="B22" s="9" t="s">
        <v>88</v>
      </c>
      <c r="C22" s="10"/>
      <c r="D22" s="11"/>
      <c r="E22" s="11"/>
      <c r="F22" s="12" t="str">
        <f>IF(OR(TRIM(A22)="",AND(E22=0,D22&lt;&gt;0)),"-",IF(AND(OR(C22="EE",C22="CE",C22="SE"),D22=0,E22=0), "Médio", IF(AND(OR(C22="ALI",C22="AIE"),D22=0,E22=0),"Baixo",IF(OR(C22="ALI",C22="AIE"),IF(D22=0,"-",VLOOKUP(D22,{1,"Baixo","Baixo","Médio";2,"Baixo","Médio","Alto";6,"Médio","Alto","Alto"},MATCH(E22,{1,20,51})+1)),IF(C22="EE",VLOOKUP(D22,{0,"Baixo","Baixo","Médio";2,"Baixo","Médio","Alto";3,"Médio","Alto","Alto"},MATCH(E22,{1,5,16})+1),IF(OR(C22="SE",C22="CE"),IF(AND(D22=0,C22="CE"),"-",VLOOKUP(D22,{0,"Baixo","Baixo","Médio";2,"Baixo","Médio","Alto";4,"Médio","Alto","Alto"},MATCH(E22,{1,6,20})+1)),"-"))))))</f>
        <v>-</v>
      </c>
      <c r="G22" s="13" t="str">
        <f>IF(F22="-","-",VLOOKUP(C22,{"ALI",7,10,15;"AIE",5,7,10;"EE",3,4,6;"SE",4,5,7;"CE",3,4,6},MATCH(F22,{"Baixo","Médio","Alto"},0)+1,FALSE))</f>
        <v>-</v>
      </c>
      <c r="H22" s="11" t="s">
        <v>77</v>
      </c>
      <c r="I22" s="15" t="s">
        <v>73</v>
      </c>
      <c r="J22" s="11"/>
      <c r="K22" s="11"/>
      <c r="L22" s="11"/>
      <c r="M22" s="12">
        <f t="shared" ref="M22:M82" si="52">IF(OR(TRIM(A22)="",AND(OR(D22&lt;&gt;0,G22&lt;&gt;"-"),H22="Criar"),AND(G22="-",H22&lt;&gt;"Criar",H22&lt;&gt;"Dados de Código"),AND(H22="Eliminar",OR(C22&lt;&gt;I22,SUM(J22:L22)&lt;&gt;0)),AND(OR(H22="Modificar",H22="Perfectiva",H22="Somente teste",H22="Teste + Plano"),OR(AND(OR(C22="ALI",C22="AIE"),AND(I22&lt;&gt;"ALI",I22&lt;&gt;"AIE")),AND(OR(C22="EE",C22="SE",C22="CE"),AND(I22&lt;&gt;"EE",I22&lt;&gt;"SE",I22&lt;&gt;"CE")))),(D22+J22-L22)&lt;0,(D22-K22-L22)&lt;0,AND((D22+J22-L22)=0,I22&lt;&gt;"EE",I22&lt;&gt;"SE")),"-",IF(AND(H22&lt;&gt;"Perfectiva",H22&lt;&gt;"Somente teste",H22&lt;&gt;"Teste + Plano"),D22+J22-L22,D22))</f>
        <v>0</v>
      </c>
      <c r="N22" s="13" t="str">
        <f t="shared" ref="N22:N82" si="53">IF(OR(M22="-",AND(H22&lt;&gt;"Modificar",H22&lt;&gt;"Dados de Código"),AND(H22="Dados de Código",OR(F22="-",D22+E22=0)),AND(I22&lt;&gt;"EE",I22&lt;&gt;"SE",I22&lt;&gt;"CE")),"-",IF(D22=0,IF(M22=0,0,100),INT(SUM(J22:L22)/D22*100)))</f>
        <v>-</v>
      </c>
      <c r="O22" s="11"/>
      <c r="P22" s="11"/>
      <c r="Q22" s="11"/>
      <c r="R22" s="12" t="str">
        <f t="shared" ref="R22:R82" si="54">IF(OR(TRIM(A22)="",AND(OR(G22&lt;&gt;"-",E22&lt;&gt;0),H22="Criar"),AND(OR(G22="-", D22+E22=0),H22&lt;&gt;"Criar",H22&lt;&gt;"Dados de Código"), AND(H22="Eliminar",OR(C22&lt;&gt;I22,SUM(O22:Q22)&lt;&gt;0)),AND(OR(H22="Modificar",H22="Perfectiva",H22="Somente teste",H22="Teste + Plano"),OR(AND(OR(C22="ALI",C22="AIE"),AND(I22&lt;&gt;"ALI",I22&lt;&gt;"AIE")),AND(OR(C22="EE",C22="SE",C22="CE"),AND(I22&lt;&gt;"EE",I22&lt;&gt;"SE",I22&lt;&gt;"CE")))),(E22+O22-Q22)&lt;=0,(E22-P22-Q22)&lt;0),"-",IF(AND(H22&lt;&gt;"Perfectiva",H22&lt;&gt;"Somente teste",H22&lt;&gt;"Teste + Plano"),E22+O22-Q22,E22))</f>
        <v>-</v>
      </c>
      <c r="S22" s="13" t="str">
        <f t="shared" ref="S22:S82" si="55">IF(OR(R22="-",AND(H22&lt;&gt;"Modificar",H22&lt;&gt;"Dados de Código"),AND(H22="Dados de Código",OR(F22="-",D22+E22=0))),"-",INT(SUM(O22:Q22)/E22*100))</f>
        <v>-</v>
      </c>
      <c r="T22" s="14">
        <f>IF(AND(H22="Modificar",SUM(J22:R22)=0),0.25,IF(AND(H22="Dados de Código",AND(D22+E22=0,OR(C22="-",C22=""))),0.1,IF(H22="Eliminar",0.4,IF(H22="Perfectiva",0.3,IF(H22="Somente teste",0.15,IF(H22="Teste + Plano",0.2,IF(H22="Criar",1,IF(OR(AND(H22&lt;&gt;"Modificar",H22&lt;&gt;"Dados de Código"),M22="-",S22="-"),"-",IF(OR(I22="ALI",I22="AIE"),IF(LEFT(C22)&lt;&gt;"A","-",IF(AND(SUM(J22:L22)=0,SUM(O22:Q22)=0),IF(C22&lt;&gt;I22,0.4,"-"),IF(H22="Modificar",HLOOKUP(S22,{0,34,68,101;0.25,0.5,0.75,1},2),HLOOKUP(S22,{0,34,68,101;0.25,0.5,0.75,1},2)*0.1))),IF(OR(AND(I22&lt;&gt;"EE",I22&lt;&gt;"SE",I22&lt;&gt;"CE"),N22="-"),"-", IF(H22="Modificar",VLOOKUP(N22,{0,0.25,0.5,0.75;34,0.5,0.75,1;68,0.75,1,1;101,1,1,1},MATCH(S22,{0,68,101})+1),VLOOKUP(N22,{0,0.25,0.5,0.75;34,0.5,0.75,1;68,0.75,1,1;101,1,1,1},MATCH(S22,{0,68,101})+1)*0.1)))))))))))</f>
        <v>1</v>
      </c>
      <c r="U22" s="14" t="str">
        <f>IF(AND(H22="Modificar",D22+E22=0),F22,IF(OR(T22="-",AND(OR(H22="Perfectiva",H22="Somente teste",H22="Teste + Plano"),F22="-",I22=""),AND(H22="Eliminar",AND(C22&lt;&gt;I22,I22&lt;&gt;"-",I22&lt;&gt;""))),"-",IF(AND(H22="Criar",OR(AND(C22&lt;&gt;"",C22&lt;&gt;"-"),F22&lt;&gt;"-",I22="")),"X",IF(AND(A22&lt;&gt;"",H22&lt;&gt;"Eliminar",F22="-",T22&lt;&gt;0,J22+K22+L22+O22+P22+Q22=0),IF(OR(I22="ALI",I22="AIE"),"Baixo","Médio"),IF(AND(OR(M22="-",R22="-"),OR(H22="Criar",F22="-",AND(H22="Eliminar",J22+K22+L22+O22+P22+Q22&lt;&gt;0))),"-",IF(OR(H22="Perfectiva",H22="Eliminar",H22="Somente teste",H22="Teste + Plano"),F22,IF(OR(I22="ALI",I22="AIE"),IF(M22=0,"-",VLOOKUP(M22,{1,"Baixo","Baixo","Médio";2,"Baixo","Médio","Alto";6,"Médio","Alto","Alto"},MATCH(R22,{1,20,51})+1)),IF(I22="EE",VLOOKUP(M22,{0,"Baixo","Baixo","Médio";2,"Baixo","Médio","Alto";3,"Médio","Alto","Alto"},MATCH(R22,{1,5,16})+1),IF(OR(I22="SE",I22="CE"),IF(AND(M22=0,I22="CE"),IF(OR(H22="Perfectiva",H22="Eliminar",H22="Somente teste",H22="Teste + Plano",H22="Modificar"),F22,"-"),VLOOKUP(M22,{0,"Baixo","Baixo","Médio";2,"Baixo","Médio","Alto";4,"Médio","Alto","Alto"},MATCH(R22,{1,6,20})+1)),)))))))))</f>
        <v>Médio</v>
      </c>
      <c r="V22" s="14">
        <f>IF(OR(T22="-",U22="-",OR(AND(OR(I22="-",I22=""),OR(H22="Modificar",H22="Dados de Código")))),"-",IF(H22="Eliminar",G22*T22,IF(AND(OR(H22="Teste + Plano",H22="Somente teste"),F22&lt;&gt;"-"),(G22*0.5)*T22,T22*VLOOKUP(I22,{"ALI",7,10,15;"AIE",5,7,10;"EE",3,4,6;"SE",4,5,7;"CE",3,4,6},MATCH(U22,{"Baixo","Médio","Alto"},0)+1,FALSE))))</f>
        <v>5</v>
      </c>
      <c r="W22" s="15" t="s">
        <v>32</v>
      </c>
      <c r="X22" s="40"/>
      <c r="Y22" s="40"/>
      <c r="Z22" s="40"/>
      <c r="AA22" s="40"/>
      <c r="AB22" s="40"/>
      <c r="AC22" s="40"/>
      <c r="AD22" s="8"/>
      <c r="AE22" s="8"/>
    </row>
    <row r="23" spans="1:31" ht="39.950000000000003" customHeight="1" x14ac:dyDescent="0.2">
      <c r="A23" s="9" t="s">
        <v>104</v>
      </c>
      <c r="B23" s="9" t="s">
        <v>88</v>
      </c>
      <c r="C23" s="10"/>
      <c r="D23" s="11"/>
      <c r="E23" s="11"/>
      <c r="F23" s="12" t="str">
        <f>IF(OR(TRIM(A23)="",AND(E23=0,D23&lt;&gt;0)),"-",IF(AND(OR(C23="EE",C23="CE",C23="SE"),D23=0,E23=0), "Médio", IF(AND(OR(C23="ALI",C23="AIE"),D23=0,E23=0),"Baixo",IF(OR(C23="ALI",C23="AIE"),IF(D23=0,"-",VLOOKUP(D23,{1,"Baixo","Baixo","Médio";2,"Baixo","Médio","Alto";6,"Médio","Alto","Alto"},MATCH(E23,{1,20,51})+1)),IF(C23="EE",VLOOKUP(D23,{0,"Baixo","Baixo","Médio";2,"Baixo","Médio","Alto";3,"Médio","Alto","Alto"},MATCH(E23,{1,5,16})+1),IF(OR(C23="SE",C23="CE"),IF(AND(D23=0,C23="CE"),"-",VLOOKUP(D23,{0,"Baixo","Baixo","Médio";2,"Baixo","Médio","Alto";4,"Médio","Alto","Alto"},MATCH(E23,{1,6,20})+1)),"-"))))))</f>
        <v>-</v>
      </c>
      <c r="G23" s="13" t="str">
        <f>IF(F23="-","-",VLOOKUP(C23,{"ALI",7,10,15;"AIE",5,7,10;"EE",3,4,6;"SE",4,5,7;"CE",3,4,6},MATCH(F23,{"Baixo","Médio","Alto"},0)+1,FALSE))</f>
        <v>-</v>
      </c>
      <c r="H23" s="11" t="s">
        <v>77</v>
      </c>
      <c r="I23" s="15" t="s">
        <v>73</v>
      </c>
      <c r="J23" s="11"/>
      <c r="K23" s="11"/>
      <c r="L23" s="11"/>
      <c r="M23" s="12">
        <f t="shared" si="52"/>
        <v>0</v>
      </c>
      <c r="N23" s="13" t="str">
        <f t="shared" si="53"/>
        <v>-</v>
      </c>
      <c r="O23" s="11"/>
      <c r="P23" s="11"/>
      <c r="Q23" s="11"/>
      <c r="R23" s="12" t="str">
        <f t="shared" si="54"/>
        <v>-</v>
      </c>
      <c r="S23" s="13" t="str">
        <f t="shared" si="55"/>
        <v>-</v>
      </c>
      <c r="T23" s="14">
        <f>IF(AND(H23="Modificar",SUM(J23:R23)=0),0.25,IF(AND(H23="Dados de Código",AND(D23+E23=0,OR(C23="-",C23=""))),0.1,IF(H23="Eliminar",0.4,IF(H23="Perfectiva",0.3,IF(H23="Somente teste",0.15,IF(H23="Teste + Plano",0.2,IF(H23="Criar",1,IF(OR(AND(H23&lt;&gt;"Modificar",H23&lt;&gt;"Dados de Código"),M23="-",S23="-"),"-",IF(OR(I23="ALI",I23="AIE"),IF(LEFT(C23)&lt;&gt;"A","-",IF(AND(SUM(J23:L23)=0,SUM(O23:Q23)=0),IF(C23&lt;&gt;I23,0.4,"-"),IF(H23="Modificar",HLOOKUP(S23,{0,34,68,101;0.25,0.5,0.75,1},2),HLOOKUP(S23,{0,34,68,101;0.25,0.5,0.75,1},2)*0.1))),IF(OR(AND(I23&lt;&gt;"EE",I23&lt;&gt;"SE",I23&lt;&gt;"CE"),N23="-"),"-", IF(H23="Modificar",VLOOKUP(N23,{0,0.25,0.5,0.75;34,0.5,0.75,1;68,0.75,1,1;101,1,1,1},MATCH(S23,{0,68,101})+1),VLOOKUP(N23,{0,0.25,0.5,0.75;34,0.5,0.75,1;68,0.75,1,1;101,1,1,1},MATCH(S23,{0,68,101})+1)*0.1)))))))))))</f>
        <v>1</v>
      </c>
      <c r="U23" s="14" t="str">
        <f>IF(AND(H23="Modificar",D23+E23=0),F23,IF(OR(T23="-",AND(OR(H23="Perfectiva",H23="Somente teste",H23="Teste + Plano"),F23="-",I23=""),AND(H23="Eliminar",AND(C23&lt;&gt;I23,I23&lt;&gt;"-",I23&lt;&gt;""))),"-",IF(AND(H23="Criar",OR(AND(C23&lt;&gt;"",C23&lt;&gt;"-"),F23&lt;&gt;"-",I23="")),"X",IF(AND(A23&lt;&gt;"",H23&lt;&gt;"Eliminar",F23="-",T23&lt;&gt;0,J23+K23+L23+O23+P23+Q23=0),IF(OR(I23="ALI",I23="AIE"),"Baixo","Médio"),IF(AND(OR(M23="-",R23="-"),OR(H23="Criar",F23="-",AND(H23="Eliminar",J23+K23+L23+O23+P23+Q23&lt;&gt;0))),"-",IF(OR(H23="Perfectiva",H23="Eliminar",H23="Somente teste",H23="Teste + Plano"),F23,IF(OR(I23="ALI",I23="AIE"),IF(M23=0,"-",VLOOKUP(M23,{1,"Baixo","Baixo","Médio";2,"Baixo","Médio","Alto";6,"Médio","Alto","Alto"},MATCH(R23,{1,20,51})+1)),IF(I23="EE",VLOOKUP(M23,{0,"Baixo","Baixo","Médio";2,"Baixo","Médio","Alto";3,"Médio","Alto","Alto"},MATCH(R23,{1,5,16})+1),IF(OR(I23="SE",I23="CE"),IF(AND(M23=0,I23="CE"),IF(OR(H23="Perfectiva",H23="Eliminar",H23="Somente teste",H23="Teste + Plano",H23="Modificar"),F23,"-"),VLOOKUP(M23,{0,"Baixo","Baixo","Médio";2,"Baixo","Médio","Alto";4,"Médio","Alto","Alto"},MATCH(R23,{1,6,20})+1)),)))))))))</f>
        <v>Médio</v>
      </c>
      <c r="V23" s="14">
        <f>IF(OR(T23="-",U23="-",OR(AND(OR(I23="-",I23=""),OR(H23="Modificar",H23="Dados de Código")))),"-",IF(H23="Eliminar",G23*T23,IF(AND(OR(H23="Teste + Plano",H23="Somente teste"),F23&lt;&gt;"-"),(G23*0.5)*T23,T23*VLOOKUP(I23,{"ALI",7,10,15;"AIE",5,7,10;"EE",3,4,6;"SE",4,5,7;"CE",3,4,6},MATCH(U23,{"Baixo","Médio","Alto"},0)+1,FALSE))))</f>
        <v>5</v>
      </c>
      <c r="W23" s="15" t="s">
        <v>32</v>
      </c>
      <c r="X23" s="40"/>
      <c r="Y23" s="40"/>
      <c r="Z23" s="40"/>
      <c r="AA23" s="40"/>
      <c r="AB23" s="40"/>
      <c r="AC23" s="40"/>
      <c r="AD23" s="8"/>
      <c r="AE23" s="8"/>
    </row>
    <row r="24" spans="1:31" ht="39.950000000000003" customHeight="1" x14ac:dyDescent="0.2">
      <c r="A24" s="9" t="s">
        <v>105</v>
      </c>
      <c r="B24" s="9" t="s">
        <v>88</v>
      </c>
      <c r="C24" s="10" t="s">
        <v>70</v>
      </c>
      <c r="D24" s="11"/>
      <c r="E24" s="11"/>
      <c r="F24" s="12" t="str">
        <f>IF(OR(TRIM(A24)="",AND(E24=0,D24&lt;&gt;0)),"-",IF(AND(OR(C24="EE",C24="CE",C24="SE"),D24=0,E24=0), "Médio", IF(AND(OR(C24="ALI",C24="AIE"),D24=0,E24=0),"Baixo",IF(OR(C24="ALI",C24="AIE"),IF(D24=0,"-",VLOOKUP(D24,{1,"Baixo","Baixo","Médio";2,"Baixo","Médio","Alto";6,"Médio","Alto","Alto"},MATCH(E24,{1,20,51})+1)),IF(C24="EE",VLOOKUP(D24,{0,"Baixo","Baixo","Médio";2,"Baixo","Médio","Alto";3,"Médio","Alto","Alto"},MATCH(E24,{1,5,16})+1),IF(OR(C24="SE",C24="CE"),IF(AND(D24=0,C24="CE"),"-",VLOOKUP(D24,{0,"Baixo","Baixo","Médio";2,"Baixo","Médio","Alto";4,"Médio","Alto","Alto"},MATCH(E24,{1,6,20})+1)),"-"))))))</f>
        <v>-</v>
      </c>
      <c r="G24" s="13" t="str">
        <f>IF(F24="-","-",VLOOKUP(C24,{"ALI",7,10,15;"AIE",5,7,10;"EE",3,4,6;"SE",4,5,7;"CE",3,4,6},MATCH(F24,{"Baixo","Médio","Alto"},0)+1,FALSE))</f>
        <v>-</v>
      </c>
      <c r="H24" s="11" t="s">
        <v>77</v>
      </c>
      <c r="I24" s="15" t="s">
        <v>73</v>
      </c>
      <c r="J24" s="11"/>
      <c r="K24" s="11"/>
      <c r="L24" s="11"/>
      <c r="M24" s="12">
        <f t="shared" si="52"/>
        <v>0</v>
      </c>
      <c r="N24" s="13" t="str">
        <f t="shared" si="53"/>
        <v>-</v>
      </c>
      <c r="O24" s="11"/>
      <c r="P24" s="11"/>
      <c r="Q24" s="11"/>
      <c r="R24" s="12" t="str">
        <f t="shared" si="54"/>
        <v>-</v>
      </c>
      <c r="S24" s="13" t="str">
        <f t="shared" si="55"/>
        <v>-</v>
      </c>
      <c r="T24" s="14">
        <f>IF(AND(H24="Modificar",SUM(J24:R24)=0),0.25,IF(AND(H24="Dados de Código",AND(D24+E24=0,OR(C24="-",C24=""))),0.1,IF(H24="Eliminar",0.4,IF(H24="Perfectiva",0.3,IF(H24="Somente teste",0.15,IF(H24="Teste + Plano",0.2,IF(H24="Criar",1,IF(OR(AND(H24&lt;&gt;"Modificar",H24&lt;&gt;"Dados de Código"),M24="-",S24="-"),"-",IF(OR(I24="ALI",I24="AIE"),IF(LEFT(C24)&lt;&gt;"A","-",IF(AND(SUM(J24:L24)=0,SUM(O24:Q24)=0),IF(C24&lt;&gt;I24,0.4,"-"),IF(H24="Modificar",HLOOKUP(S24,{0,34,68,101;0.25,0.5,0.75,1},2),HLOOKUP(S24,{0,34,68,101;0.25,0.5,0.75,1},2)*0.1))),IF(OR(AND(I24&lt;&gt;"EE",I24&lt;&gt;"SE",I24&lt;&gt;"CE"),N24="-"),"-", IF(H24="Modificar",VLOOKUP(N24,{0,0.25,0.5,0.75;34,0.5,0.75,1;68,0.75,1,1;101,1,1,1},MATCH(S24,{0,68,101})+1),VLOOKUP(N24,{0,0.25,0.5,0.75;34,0.5,0.75,1;68,0.75,1,1;101,1,1,1},MATCH(S24,{0,68,101})+1)*0.1)))))))))))</f>
        <v>1</v>
      </c>
      <c r="U24" s="14" t="str">
        <f>IF(AND(H24="Modificar",D24+E24=0),F24,IF(OR(T24="-",AND(OR(H24="Perfectiva",H24="Somente teste",H24="Teste + Plano"),F24="-",I24=""),AND(H24="Eliminar",AND(C24&lt;&gt;I24,I24&lt;&gt;"-",I24&lt;&gt;""))),"-",IF(AND(H24="Criar",OR(AND(C24&lt;&gt;"",C24&lt;&gt;"-"),F24&lt;&gt;"-",I24="")),"X",IF(AND(A24&lt;&gt;"",H24&lt;&gt;"Eliminar",F24="-",T24&lt;&gt;0,J24+K24+L24+O24+P24+Q24=0),IF(OR(I24="ALI",I24="AIE"),"Baixo","Médio"),IF(AND(OR(M24="-",R24="-"),OR(H24="Criar",F24="-",AND(H24="Eliminar",J24+K24+L24+O24+P24+Q24&lt;&gt;0))),"-",IF(OR(H24="Perfectiva",H24="Eliminar",H24="Somente teste",H24="Teste + Plano"),F24,IF(OR(I24="ALI",I24="AIE"),IF(M24=0,"-",VLOOKUP(M24,{1,"Baixo","Baixo","Médio";2,"Baixo","Médio","Alto";6,"Médio","Alto","Alto"},MATCH(R24,{1,20,51})+1)),IF(I24="EE",VLOOKUP(M24,{0,"Baixo","Baixo","Médio";2,"Baixo","Médio","Alto";3,"Médio","Alto","Alto"},MATCH(R24,{1,5,16})+1),IF(OR(I24="SE",I24="CE"),IF(AND(M24=0,I24="CE"),IF(OR(H24="Perfectiva",H24="Eliminar",H24="Somente teste",H24="Teste + Plano",H24="Modificar"),F24,"-"),VLOOKUP(M24,{0,"Baixo","Baixo","Médio";2,"Baixo","Médio","Alto";4,"Médio","Alto","Alto"},MATCH(R24,{1,6,20})+1)),)))))))))</f>
        <v>Médio</v>
      </c>
      <c r="V24" s="14">
        <f>IF(OR(T24="-",U24="-",OR(AND(OR(I24="-",I24=""),OR(H24="Modificar",H24="Dados de Código")))),"-",IF(H24="Eliminar",G24*T24,IF(AND(OR(H24="Teste + Plano",H24="Somente teste"),F24&lt;&gt;"-"),(G24*0.5)*T24,T24*VLOOKUP(I24,{"ALI",7,10,15;"AIE",5,7,10;"EE",3,4,6;"SE",4,5,7;"CE",3,4,6},MATCH(U24,{"Baixo","Médio","Alto"},0)+1,FALSE))))</f>
        <v>5</v>
      </c>
      <c r="W24" s="15" t="s">
        <v>32</v>
      </c>
      <c r="X24" s="40"/>
      <c r="Y24" s="40"/>
      <c r="Z24" s="40"/>
      <c r="AA24" s="40"/>
      <c r="AB24" s="40"/>
      <c r="AC24" s="40"/>
      <c r="AD24" s="8"/>
      <c r="AE24" s="8"/>
    </row>
    <row r="25" spans="1:31" ht="39.950000000000003" customHeight="1" x14ac:dyDescent="0.2">
      <c r="A25" s="9" t="s">
        <v>106</v>
      </c>
      <c r="B25" s="9" t="s">
        <v>88</v>
      </c>
      <c r="C25" s="10" t="s">
        <v>70</v>
      </c>
      <c r="D25" s="11"/>
      <c r="E25" s="11"/>
      <c r="F25" s="12" t="str">
        <f>IF(OR(TRIM(A25)="",AND(E25=0,D25&lt;&gt;0)),"-",IF(AND(OR(C25="EE",C25="CE",C25="SE"),D25=0,E25=0), "Médio", IF(AND(OR(C25="ALI",C25="AIE"),D25=0,E25=0),"Baixo",IF(OR(C25="ALI",C25="AIE"),IF(D25=0,"-",VLOOKUP(D25,{1,"Baixo","Baixo","Médio";2,"Baixo","Médio","Alto";6,"Médio","Alto","Alto"},MATCH(E25,{1,20,51})+1)),IF(C25="EE",VLOOKUP(D25,{0,"Baixo","Baixo","Médio";2,"Baixo","Médio","Alto";3,"Médio","Alto","Alto"},MATCH(E25,{1,5,16})+1),IF(OR(C25="SE",C25="CE"),IF(AND(D25=0,C25="CE"),"-",VLOOKUP(D25,{0,"Baixo","Baixo","Médio";2,"Baixo","Médio","Alto";4,"Médio","Alto","Alto"},MATCH(E25,{1,6,20})+1)),"-"))))))</f>
        <v>-</v>
      </c>
      <c r="G25" s="13" t="str">
        <f>IF(F25="-","-",VLOOKUP(C25,{"ALI",7,10,15;"AIE",5,7,10;"EE",3,4,6;"SE",4,5,7;"CE",3,4,6},MATCH(F25,{"Baixo","Médio","Alto"},0)+1,FALSE))</f>
        <v>-</v>
      </c>
      <c r="H25" s="11" t="s">
        <v>77</v>
      </c>
      <c r="I25" s="15" t="s">
        <v>73</v>
      </c>
      <c r="J25" s="11"/>
      <c r="K25" s="11"/>
      <c r="L25" s="11"/>
      <c r="M25" s="12">
        <f t="shared" si="52"/>
        <v>0</v>
      </c>
      <c r="N25" s="13" t="str">
        <f t="shared" si="53"/>
        <v>-</v>
      </c>
      <c r="O25" s="11"/>
      <c r="P25" s="11"/>
      <c r="Q25" s="11"/>
      <c r="R25" s="12" t="str">
        <f t="shared" si="54"/>
        <v>-</v>
      </c>
      <c r="S25" s="13" t="str">
        <f t="shared" si="55"/>
        <v>-</v>
      </c>
      <c r="T25" s="14">
        <f>IF(AND(H25="Modificar",SUM(J25:R25)=0),0.25,IF(AND(H25="Dados de Código",AND(D25+E25=0,OR(C25="-",C25=""))),0.1,IF(H25="Eliminar",0.4,IF(H25="Perfectiva",0.3,IF(H25="Somente teste",0.15,IF(H25="Teste + Plano",0.2,IF(H25="Criar",1,IF(OR(AND(H25&lt;&gt;"Modificar",H25&lt;&gt;"Dados de Código"),M25="-",S25="-"),"-",IF(OR(I25="ALI",I25="AIE"),IF(LEFT(C25)&lt;&gt;"A","-",IF(AND(SUM(J25:L25)=0,SUM(O25:Q25)=0),IF(C25&lt;&gt;I25,0.4,"-"),IF(H25="Modificar",HLOOKUP(S25,{0,34,68,101;0.25,0.5,0.75,1},2),HLOOKUP(S25,{0,34,68,101;0.25,0.5,0.75,1},2)*0.1))),IF(OR(AND(I25&lt;&gt;"EE",I25&lt;&gt;"SE",I25&lt;&gt;"CE"),N25="-"),"-", IF(H25="Modificar",VLOOKUP(N25,{0,0.25,0.5,0.75;34,0.5,0.75,1;68,0.75,1,1;101,1,1,1},MATCH(S25,{0,68,101})+1),VLOOKUP(N25,{0,0.25,0.5,0.75;34,0.5,0.75,1;68,0.75,1,1;101,1,1,1},MATCH(S25,{0,68,101})+1)*0.1)))))))))))</f>
        <v>1</v>
      </c>
      <c r="U25" s="14" t="str">
        <f>IF(AND(H25="Modificar",D25+E25=0),F25,IF(OR(T25="-",AND(OR(H25="Perfectiva",H25="Somente teste",H25="Teste + Plano"),F25="-",I25=""),AND(H25="Eliminar",AND(C25&lt;&gt;I25,I25&lt;&gt;"-",I25&lt;&gt;""))),"-",IF(AND(H25="Criar",OR(AND(C25&lt;&gt;"",C25&lt;&gt;"-"),F25&lt;&gt;"-",I25="")),"X",IF(AND(A25&lt;&gt;"",H25&lt;&gt;"Eliminar",F25="-",T25&lt;&gt;0,J25+K25+L25+O25+P25+Q25=0),IF(OR(I25="ALI",I25="AIE"),"Baixo","Médio"),IF(AND(OR(M25="-",R25="-"),OR(H25="Criar",F25="-",AND(H25="Eliminar",J25+K25+L25+O25+P25+Q25&lt;&gt;0))),"-",IF(OR(H25="Perfectiva",H25="Eliminar",H25="Somente teste",H25="Teste + Plano"),F25,IF(OR(I25="ALI",I25="AIE"),IF(M25=0,"-",VLOOKUP(M25,{1,"Baixo","Baixo","Médio";2,"Baixo","Médio","Alto";6,"Médio","Alto","Alto"},MATCH(R25,{1,20,51})+1)),IF(I25="EE",VLOOKUP(M25,{0,"Baixo","Baixo","Médio";2,"Baixo","Médio","Alto";3,"Médio","Alto","Alto"},MATCH(R25,{1,5,16})+1),IF(OR(I25="SE",I25="CE"),IF(AND(M25=0,I25="CE"),IF(OR(H25="Perfectiva",H25="Eliminar",H25="Somente teste",H25="Teste + Plano",H25="Modificar"),F25,"-"),VLOOKUP(M25,{0,"Baixo","Baixo","Médio";2,"Baixo","Médio","Alto";4,"Médio","Alto","Alto"},MATCH(R25,{1,6,20})+1)),)))))))))</f>
        <v>Médio</v>
      </c>
      <c r="V25" s="14">
        <f>IF(OR(T25="-",U25="-",OR(AND(OR(I25="-",I25=""),OR(H25="Modificar",H25="Dados de Código")))),"-",IF(H25="Eliminar",G25*T25,IF(AND(OR(H25="Teste + Plano",H25="Somente teste"),F25&lt;&gt;"-"),(G25*0.5)*T25,T25*VLOOKUP(I25,{"ALI",7,10,15;"AIE",5,7,10;"EE",3,4,6;"SE",4,5,7;"CE",3,4,6},MATCH(U25,{"Baixo","Médio","Alto"},0)+1,FALSE))))</f>
        <v>5</v>
      </c>
      <c r="W25" s="15" t="s">
        <v>32</v>
      </c>
      <c r="X25" s="40"/>
      <c r="Y25" s="40"/>
      <c r="Z25" s="40"/>
      <c r="AA25" s="40"/>
      <c r="AB25" s="40"/>
      <c r="AC25" s="40"/>
      <c r="AD25" s="8"/>
      <c r="AE25" s="8"/>
    </row>
    <row r="26" spans="1:31" ht="39.950000000000003" customHeight="1" x14ac:dyDescent="0.2">
      <c r="A26" s="9" t="s">
        <v>107</v>
      </c>
      <c r="B26" s="9" t="s">
        <v>88</v>
      </c>
      <c r="C26" s="10" t="s">
        <v>70</v>
      </c>
      <c r="D26" s="11"/>
      <c r="E26" s="11"/>
      <c r="F26" s="12" t="str">
        <f>IF(OR(TRIM(A26)="",AND(E26=0,D26&lt;&gt;0)),"-",IF(AND(OR(C26="EE",C26="CE",C26="SE"),D26=0,E26=0), "Médio", IF(AND(OR(C26="ALI",C26="AIE"),D26=0,E26=0),"Baixo",IF(OR(C26="ALI",C26="AIE"),IF(D26=0,"-",VLOOKUP(D26,{1,"Baixo","Baixo","Médio";2,"Baixo","Médio","Alto";6,"Médio","Alto","Alto"},MATCH(E26,{1,20,51})+1)),IF(C26="EE",VLOOKUP(D26,{0,"Baixo","Baixo","Médio";2,"Baixo","Médio","Alto";3,"Médio","Alto","Alto"},MATCH(E26,{1,5,16})+1),IF(OR(C26="SE",C26="CE"),IF(AND(D26=0,C26="CE"),"-",VLOOKUP(D26,{0,"Baixo","Baixo","Médio";2,"Baixo","Médio","Alto";4,"Médio","Alto","Alto"},MATCH(E26,{1,6,20})+1)),"-"))))))</f>
        <v>-</v>
      </c>
      <c r="G26" s="13" t="str">
        <f>IF(F26="-","-",VLOOKUP(C26,{"ALI",7,10,15;"AIE",5,7,10;"EE",3,4,6;"SE",4,5,7;"CE",3,4,6},MATCH(F26,{"Baixo","Médio","Alto"},0)+1,FALSE))</f>
        <v>-</v>
      </c>
      <c r="H26" s="11" t="s">
        <v>77</v>
      </c>
      <c r="I26" s="15" t="s">
        <v>73</v>
      </c>
      <c r="J26" s="11"/>
      <c r="K26" s="11"/>
      <c r="L26" s="11"/>
      <c r="M26" s="12">
        <f t="shared" si="52"/>
        <v>0</v>
      </c>
      <c r="N26" s="13" t="str">
        <f t="shared" si="53"/>
        <v>-</v>
      </c>
      <c r="O26" s="11"/>
      <c r="P26" s="11"/>
      <c r="Q26" s="11"/>
      <c r="R26" s="12" t="str">
        <f t="shared" si="54"/>
        <v>-</v>
      </c>
      <c r="S26" s="13" t="str">
        <f t="shared" si="55"/>
        <v>-</v>
      </c>
      <c r="T26" s="14">
        <f>IF(AND(H26="Modificar",SUM(J26:R26)=0),0.25,IF(AND(H26="Dados de Código",AND(D26+E26=0,OR(C26="-",C26=""))),0.1,IF(H26="Eliminar",0.4,IF(H26="Perfectiva",0.3,IF(H26="Somente teste",0.15,IF(H26="Teste + Plano",0.2,IF(H26="Criar",1,IF(OR(AND(H26&lt;&gt;"Modificar",H26&lt;&gt;"Dados de Código"),M26="-",S26="-"),"-",IF(OR(I26="ALI",I26="AIE"),IF(LEFT(C26)&lt;&gt;"A","-",IF(AND(SUM(J26:L26)=0,SUM(O26:Q26)=0),IF(C26&lt;&gt;I26,0.4,"-"),IF(H26="Modificar",HLOOKUP(S26,{0,34,68,101;0.25,0.5,0.75,1},2),HLOOKUP(S26,{0,34,68,101;0.25,0.5,0.75,1},2)*0.1))),IF(OR(AND(I26&lt;&gt;"EE",I26&lt;&gt;"SE",I26&lt;&gt;"CE"),N26="-"),"-", IF(H26="Modificar",VLOOKUP(N26,{0,0.25,0.5,0.75;34,0.5,0.75,1;68,0.75,1,1;101,1,1,1},MATCH(S26,{0,68,101})+1),VLOOKUP(N26,{0,0.25,0.5,0.75;34,0.5,0.75,1;68,0.75,1,1;101,1,1,1},MATCH(S26,{0,68,101})+1)*0.1)))))))))))</f>
        <v>1</v>
      </c>
      <c r="U26" s="14" t="str">
        <f>IF(AND(H26="Modificar",D26+E26=0),F26,IF(OR(T26="-",AND(OR(H26="Perfectiva",H26="Somente teste",H26="Teste + Plano"),F26="-",I26=""),AND(H26="Eliminar",AND(C26&lt;&gt;I26,I26&lt;&gt;"-",I26&lt;&gt;""))),"-",IF(AND(H26="Criar",OR(AND(C26&lt;&gt;"",C26&lt;&gt;"-"),F26&lt;&gt;"-",I26="")),"X",IF(AND(A26&lt;&gt;"",H26&lt;&gt;"Eliminar",F26="-",T26&lt;&gt;0,J26+K26+L26+O26+P26+Q26=0),IF(OR(I26="ALI",I26="AIE"),"Baixo","Médio"),IF(AND(OR(M26="-",R26="-"),OR(H26="Criar",F26="-",AND(H26="Eliminar",J26+K26+L26+O26+P26+Q26&lt;&gt;0))),"-",IF(OR(H26="Perfectiva",H26="Eliminar",H26="Somente teste",H26="Teste + Plano"),F26,IF(OR(I26="ALI",I26="AIE"),IF(M26=0,"-",VLOOKUP(M26,{1,"Baixo","Baixo","Médio";2,"Baixo","Médio","Alto";6,"Médio","Alto","Alto"},MATCH(R26,{1,20,51})+1)),IF(I26="EE",VLOOKUP(M26,{0,"Baixo","Baixo","Médio";2,"Baixo","Médio","Alto";3,"Médio","Alto","Alto"},MATCH(R26,{1,5,16})+1),IF(OR(I26="SE",I26="CE"),IF(AND(M26=0,I26="CE"),IF(OR(H26="Perfectiva",H26="Eliminar",H26="Somente teste",H26="Teste + Plano",H26="Modificar"),F26,"-"),VLOOKUP(M26,{0,"Baixo","Baixo","Médio";2,"Baixo","Médio","Alto";4,"Médio","Alto","Alto"},MATCH(R26,{1,6,20})+1)),)))))))))</f>
        <v>Médio</v>
      </c>
      <c r="V26" s="14">
        <f>IF(OR(T26="-",U26="-",OR(AND(OR(I26="-",I26=""),OR(H26="Modificar",H26="Dados de Código")))),"-",IF(H26="Eliminar",G26*T26,IF(AND(OR(H26="Teste + Plano",H26="Somente teste"),F26&lt;&gt;"-"),(G26*0.5)*T26,T26*VLOOKUP(I26,{"ALI",7,10,15;"AIE",5,7,10;"EE",3,4,6;"SE",4,5,7;"CE",3,4,6},MATCH(U26,{"Baixo","Médio","Alto"},0)+1,FALSE))))</f>
        <v>5</v>
      </c>
      <c r="W26" s="15" t="s">
        <v>32</v>
      </c>
      <c r="X26" s="40"/>
      <c r="Y26" s="40"/>
      <c r="Z26" s="40"/>
      <c r="AA26" s="40"/>
      <c r="AB26" s="40"/>
      <c r="AC26" s="40"/>
      <c r="AD26" s="8"/>
      <c r="AE26" s="8"/>
    </row>
    <row r="27" spans="1:31" ht="39.950000000000003" customHeight="1" x14ac:dyDescent="0.2">
      <c r="A27" s="9" t="s">
        <v>108</v>
      </c>
      <c r="B27" s="9" t="s">
        <v>88</v>
      </c>
      <c r="C27" s="10" t="s">
        <v>70</v>
      </c>
      <c r="D27" s="11"/>
      <c r="E27" s="11"/>
      <c r="F27" s="12" t="str">
        <f>IF(OR(TRIM(A27)="",AND(E27=0,D27&lt;&gt;0)),"-",IF(AND(OR(C27="EE",C27="CE",C27="SE"),D27=0,E27=0), "Médio", IF(AND(OR(C27="ALI",C27="AIE"),D27=0,E27=0),"Baixo",IF(OR(C27="ALI",C27="AIE"),IF(D27=0,"-",VLOOKUP(D27,{1,"Baixo","Baixo","Médio";2,"Baixo","Médio","Alto";6,"Médio","Alto","Alto"},MATCH(E27,{1,20,51})+1)),IF(C27="EE",VLOOKUP(D27,{0,"Baixo","Baixo","Médio";2,"Baixo","Médio","Alto";3,"Médio","Alto","Alto"},MATCH(E27,{1,5,16})+1),IF(OR(C27="SE",C27="CE"),IF(AND(D27=0,C27="CE"),"-",VLOOKUP(D27,{0,"Baixo","Baixo","Médio";2,"Baixo","Médio","Alto";4,"Médio","Alto","Alto"},MATCH(E27,{1,6,20})+1)),"-"))))))</f>
        <v>-</v>
      </c>
      <c r="G27" s="13" t="str">
        <f>IF(F27="-","-",VLOOKUP(C27,{"ALI",7,10,15;"AIE",5,7,10;"EE",3,4,6;"SE",4,5,7;"CE",3,4,6},MATCH(F27,{"Baixo","Médio","Alto"},0)+1,FALSE))</f>
        <v>-</v>
      </c>
      <c r="H27" s="11" t="s">
        <v>77</v>
      </c>
      <c r="I27" s="15" t="s">
        <v>73</v>
      </c>
      <c r="J27" s="11"/>
      <c r="K27" s="11"/>
      <c r="L27" s="11"/>
      <c r="M27" s="12">
        <f t="shared" si="52"/>
        <v>0</v>
      </c>
      <c r="N27" s="13" t="str">
        <f t="shared" si="53"/>
        <v>-</v>
      </c>
      <c r="O27" s="11"/>
      <c r="P27" s="11"/>
      <c r="Q27" s="11"/>
      <c r="R27" s="12" t="str">
        <f t="shared" si="54"/>
        <v>-</v>
      </c>
      <c r="S27" s="13" t="str">
        <f t="shared" si="55"/>
        <v>-</v>
      </c>
      <c r="T27" s="14">
        <f>IF(AND(H27="Modificar",SUM(J27:R27)=0),0.25,IF(AND(H27="Dados de Código",AND(D27+E27=0,OR(C27="-",C27=""))),0.1,IF(H27="Eliminar",0.4,IF(H27="Perfectiva",0.3,IF(H27="Somente teste",0.15,IF(H27="Teste + Plano",0.2,IF(H27="Criar",1,IF(OR(AND(H27&lt;&gt;"Modificar",H27&lt;&gt;"Dados de Código"),M27="-",S27="-"),"-",IF(OR(I27="ALI",I27="AIE"),IF(LEFT(C27)&lt;&gt;"A","-",IF(AND(SUM(J27:L27)=0,SUM(O27:Q27)=0),IF(C27&lt;&gt;I27,0.4,"-"),IF(H27="Modificar",HLOOKUP(S27,{0,34,68,101;0.25,0.5,0.75,1},2),HLOOKUP(S27,{0,34,68,101;0.25,0.5,0.75,1},2)*0.1))),IF(OR(AND(I27&lt;&gt;"EE",I27&lt;&gt;"SE",I27&lt;&gt;"CE"),N27="-"),"-", IF(H27="Modificar",VLOOKUP(N27,{0,0.25,0.5,0.75;34,0.5,0.75,1;68,0.75,1,1;101,1,1,1},MATCH(S27,{0,68,101})+1),VLOOKUP(N27,{0,0.25,0.5,0.75;34,0.5,0.75,1;68,0.75,1,1;101,1,1,1},MATCH(S27,{0,68,101})+1)*0.1)))))))))))</f>
        <v>1</v>
      </c>
      <c r="U27" s="14" t="str">
        <f>IF(AND(H27="Modificar",D27+E27=0),F27,IF(OR(T27="-",AND(OR(H27="Perfectiva",H27="Somente teste",H27="Teste + Plano"),F27="-",I27=""),AND(H27="Eliminar",AND(C27&lt;&gt;I27,I27&lt;&gt;"-",I27&lt;&gt;""))),"-",IF(AND(H27="Criar",OR(AND(C27&lt;&gt;"",C27&lt;&gt;"-"),F27&lt;&gt;"-",I27="")),"X",IF(AND(A27&lt;&gt;"",H27&lt;&gt;"Eliminar",F27="-",T27&lt;&gt;0,J27+K27+L27+O27+P27+Q27=0),IF(OR(I27="ALI",I27="AIE"),"Baixo","Médio"),IF(AND(OR(M27="-",R27="-"),OR(H27="Criar",F27="-",AND(H27="Eliminar",J27+K27+L27+O27+P27+Q27&lt;&gt;0))),"-",IF(OR(H27="Perfectiva",H27="Eliminar",H27="Somente teste",H27="Teste + Plano"),F27,IF(OR(I27="ALI",I27="AIE"),IF(M27=0,"-",VLOOKUP(M27,{1,"Baixo","Baixo","Médio";2,"Baixo","Médio","Alto";6,"Médio","Alto","Alto"},MATCH(R27,{1,20,51})+1)),IF(I27="EE",VLOOKUP(M27,{0,"Baixo","Baixo","Médio";2,"Baixo","Médio","Alto";3,"Médio","Alto","Alto"},MATCH(R27,{1,5,16})+1),IF(OR(I27="SE",I27="CE"),IF(AND(M27=0,I27="CE"),IF(OR(H27="Perfectiva",H27="Eliminar",H27="Somente teste",H27="Teste + Plano",H27="Modificar"),F27,"-"),VLOOKUP(M27,{0,"Baixo","Baixo","Médio";2,"Baixo","Médio","Alto";4,"Médio","Alto","Alto"},MATCH(R27,{1,6,20})+1)),)))))))))</f>
        <v>Médio</v>
      </c>
      <c r="V27" s="14">
        <f>IF(OR(T27="-",U27="-",OR(AND(OR(I27="-",I27=""),OR(H27="Modificar",H27="Dados de Código")))),"-",IF(H27="Eliminar",G27*T27,IF(AND(OR(H27="Teste + Plano",H27="Somente teste"),F27&lt;&gt;"-"),(G27*0.5)*T27,T27*VLOOKUP(I27,{"ALI",7,10,15;"AIE",5,7,10;"EE",3,4,6;"SE",4,5,7;"CE",3,4,6},MATCH(U27,{"Baixo","Médio","Alto"},0)+1,FALSE))))</f>
        <v>5</v>
      </c>
      <c r="W27" s="15" t="s">
        <v>32</v>
      </c>
      <c r="X27" s="40"/>
      <c r="Y27" s="40"/>
      <c r="Z27" s="40"/>
      <c r="AA27" s="40"/>
      <c r="AB27" s="40"/>
      <c r="AC27" s="40"/>
      <c r="AD27" s="8"/>
      <c r="AE27" s="8"/>
    </row>
    <row r="28" spans="1:31" ht="39.950000000000003" customHeight="1" x14ac:dyDescent="0.2">
      <c r="A28" s="9" t="s">
        <v>109</v>
      </c>
      <c r="B28" s="9" t="s">
        <v>88</v>
      </c>
      <c r="C28" s="10" t="s">
        <v>70</v>
      </c>
      <c r="D28" s="11"/>
      <c r="E28" s="11"/>
      <c r="F28" s="12" t="str">
        <f>IF(OR(TRIM(A28)="",AND(E28=0,D28&lt;&gt;0)),"-",IF(AND(OR(C28="EE",C28="CE",C28="SE"),D28=0,E28=0), "Médio", IF(AND(OR(C28="ALI",C28="AIE"),D28=0,E28=0),"Baixo",IF(OR(C28="ALI",C28="AIE"),IF(D28=0,"-",VLOOKUP(D28,{1,"Baixo","Baixo","Médio";2,"Baixo","Médio","Alto";6,"Médio","Alto","Alto"},MATCH(E28,{1,20,51})+1)),IF(C28="EE",VLOOKUP(D28,{0,"Baixo","Baixo","Médio";2,"Baixo","Médio","Alto";3,"Médio","Alto","Alto"},MATCH(E28,{1,5,16})+1),IF(OR(C28="SE",C28="CE"),IF(AND(D28=0,C28="CE"),"-",VLOOKUP(D28,{0,"Baixo","Baixo","Médio";2,"Baixo","Médio","Alto";4,"Médio","Alto","Alto"},MATCH(E28,{1,6,20})+1)),"-"))))))</f>
        <v>-</v>
      </c>
      <c r="G28" s="13" t="str">
        <f>IF(F28="-","-",VLOOKUP(C28,{"ALI",7,10,15;"AIE",5,7,10;"EE",3,4,6;"SE",4,5,7;"CE",3,4,6},MATCH(F28,{"Baixo","Médio","Alto"},0)+1,FALSE))</f>
        <v>-</v>
      </c>
      <c r="H28" s="11" t="s">
        <v>77</v>
      </c>
      <c r="I28" s="15" t="s">
        <v>73</v>
      </c>
      <c r="J28" s="11"/>
      <c r="K28" s="11"/>
      <c r="L28" s="11"/>
      <c r="M28" s="12">
        <f t="shared" si="52"/>
        <v>0</v>
      </c>
      <c r="N28" s="13" t="str">
        <f t="shared" si="53"/>
        <v>-</v>
      </c>
      <c r="O28" s="11"/>
      <c r="P28" s="11"/>
      <c r="Q28" s="11"/>
      <c r="R28" s="12" t="str">
        <f t="shared" si="54"/>
        <v>-</v>
      </c>
      <c r="S28" s="13" t="str">
        <f t="shared" si="55"/>
        <v>-</v>
      </c>
      <c r="T28" s="14">
        <f>IF(AND(H28="Modificar",SUM(J28:R28)=0),0.25,IF(AND(H28="Dados de Código",AND(D28+E28=0,OR(C28="-",C28=""))),0.1,IF(H28="Eliminar",0.4,IF(H28="Perfectiva",0.3,IF(H28="Somente teste",0.15,IF(H28="Teste + Plano",0.2,IF(H28="Criar",1,IF(OR(AND(H28&lt;&gt;"Modificar",H28&lt;&gt;"Dados de Código"),M28="-",S28="-"),"-",IF(OR(I28="ALI",I28="AIE"),IF(LEFT(C28)&lt;&gt;"A","-",IF(AND(SUM(J28:L28)=0,SUM(O28:Q28)=0),IF(C28&lt;&gt;I28,0.4,"-"),IF(H28="Modificar",HLOOKUP(S28,{0,34,68,101;0.25,0.5,0.75,1},2),HLOOKUP(S28,{0,34,68,101;0.25,0.5,0.75,1},2)*0.1))),IF(OR(AND(I28&lt;&gt;"EE",I28&lt;&gt;"SE",I28&lt;&gt;"CE"),N28="-"),"-", IF(H28="Modificar",VLOOKUP(N28,{0,0.25,0.5,0.75;34,0.5,0.75,1;68,0.75,1,1;101,1,1,1},MATCH(S28,{0,68,101})+1),VLOOKUP(N28,{0,0.25,0.5,0.75;34,0.5,0.75,1;68,0.75,1,1;101,1,1,1},MATCH(S28,{0,68,101})+1)*0.1)))))))))))</f>
        <v>1</v>
      </c>
      <c r="U28" s="14" t="str">
        <f>IF(AND(H28="Modificar",D28+E28=0),F28,IF(OR(T28="-",AND(OR(H28="Perfectiva",H28="Somente teste",H28="Teste + Plano"),F28="-",I28=""),AND(H28="Eliminar",AND(C28&lt;&gt;I28,I28&lt;&gt;"-",I28&lt;&gt;""))),"-",IF(AND(H28="Criar",OR(AND(C28&lt;&gt;"",C28&lt;&gt;"-"),F28&lt;&gt;"-",I28="")),"X",IF(AND(A28&lt;&gt;"",H28&lt;&gt;"Eliminar",F28="-",T28&lt;&gt;0,J28+K28+L28+O28+P28+Q28=0),IF(OR(I28="ALI",I28="AIE"),"Baixo","Médio"),IF(AND(OR(M28="-",R28="-"),OR(H28="Criar",F28="-",AND(H28="Eliminar",J28+K28+L28+O28+P28+Q28&lt;&gt;0))),"-",IF(OR(H28="Perfectiva",H28="Eliminar",H28="Somente teste",H28="Teste + Plano"),F28,IF(OR(I28="ALI",I28="AIE"),IF(M28=0,"-",VLOOKUP(M28,{1,"Baixo","Baixo","Médio";2,"Baixo","Médio","Alto";6,"Médio","Alto","Alto"},MATCH(R28,{1,20,51})+1)),IF(I28="EE",VLOOKUP(M28,{0,"Baixo","Baixo","Médio";2,"Baixo","Médio","Alto";3,"Médio","Alto","Alto"},MATCH(R28,{1,5,16})+1),IF(OR(I28="SE",I28="CE"),IF(AND(M28=0,I28="CE"),IF(OR(H28="Perfectiva",H28="Eliminar",H28="Somente teste",H28="Teste + Plano",H28="Modificar"),F28,"-"),VLOOKUP(M28,{0,"Baixo","Baixo","Médio";2,"Baixo","Médio","Alto";4,"Médio","Alto","Alto"},MATCH(R28,{1,6,20})+1)),)))))))))</f>
        <v>Médio</v>
      </c>
      <c r="V28" s="14">
        <f>IF(OR(T28="-",U28="-",OR(AND(OR(I28="-",I28=""),OR(H28="Modificar",H28="Dados de Código")))),"-",IF(H28="Eliminar",G28*T28,IF(AND(OR(H28="Teste + Plano",H28="Somente teste"),F28&lt;&gt;"-"),(G28*0.5)*T28,T28*VLOOKUP(I28,{"ALI",7,10,15;"AIE",5,7,10;"EE",3,4,6;"SE",4,5,7;"CE",3,4,6},MATCH(U28,{"Baixo","Médio","Alto"},0)+1,FALSE))))</f>
        <v>5</v>
      </c>
      <c r="W28" s="15" t="s">
        <v>32</v>
      </c>
      <c r="X28" s="40"/>
      <c r="Y28" s="40"/>
      <c r="Z28" s="40"/>
      <c r="AA28" s="40"/>
      <c r="AB28" s="40"/>
      <c r="AC28" s="40"/>
      <c r="AD28" s="8"/>
      <c r="AE28" s="8"/>
    </row>
    <row r="29" spans="1:31" ht="39.950000000000003" customHeight="1" x14ac:dyDescent="0.2">
      <c r="A29" s="9" t="s">
        <v>110</v>
      </c>
      <c r="B29" s="9" t="s">
        <v>88</v>
      </c>
      <c r="C29" s="10" t="s">
        <v>70</v>
      </c>
      <c r="D29" s="11"/>
      <c r="E29" s="11"/>
      <c r="F29" s="12" t="str">
        <f>IF(OR(TRIM(A29)="",AND(E29=0,D29&lt;&gt;0)),"-",IF(AND(OR(C29="EE",C29="CE",C29="SE"),D29=0,E29=0), "Médio", IF(AND(OR(C29="ALI",C29="AIE"),D29=0,E29=0),"Baixo",IF(OR(C29="ALI",C29="AIE"),IF(D29=0,"-",VLOOKUP(D29,{1,"Baixo","Baixo","Médio";2,"Baixo","Médio","Alto";6,"Médio","Alto","Alto"},MATCH(E29,{1,20,51})+1)),IF(C29="EE",VLOOKUP(D29,{0,"Baixo","Baixo","Médio";2,"Baixo","Médio","Alto";3,"Médio","Alto","Alto"},MATCH(E29,{1,5,16})+1),IF(OR(C29="SE",C29="CE"),IF(AND(D29=0,C29="CE"),"-",VLOOKUP(D29,{0,"Baixo","Baixo","Médio";2,"Baixo","Médio","Alto";4,"Médio","Alto","Alto"},MATCH(E29,{1,6,20})+1)),"-"))))))</f>
        <v>-</v>
      </c>
      <c r="G29" s="13" t="str">
        <f>IF(F29="-","-",VLOOKUP(C29,{"ALI",7,10,15;"AIE",5,7,10;"EE",3,4,6;"SE",4,5,7;"CE",3,4,6},MATCH(F29,{"Baixo","Médio","Alto"},0)+1,FALSE))</f>
        <v>-</v>
      </c>
      <c r="H29" s="11" t="s">
        <v>77</v>
      </c>
      <c r="I29" s="15" t="s">
        <v>73</v>
      </c>
      <c r="J29" s="11"/>
      <c r="K29" s="11"/>
      <c r="L29" s="11"/>
      <c r="M29" s="12">
        <f t="shared" si="52"/>
        <v>0</v>
      </c>
      <c r="N29" s="13" t="str">
        <f t="shared" si="53"/>
        <v>-</v>
      </c>
      <c r="O29" s="11"/>
      <c r="P29" s="11"/>
      <c r="Q29" s="11"/>
      <c r="R29" s="12" t="str">
        <f t="shared" si="54"/>
        <v>-</v>
      </c>
      <c r="S29" s="13" t="str">
        <f t="shared" si="55"/>
        <v>-</v>
      </c>
      <c r="T29" s="14">
        <f>IF(AND(H29="Modificar",SUM(J29:R29)=0),0.25,IF(AND(H29="Dados de Código",AND(D29+E29=0,OR(C29="-",C29=""))),0.1,IF(H29="Eliminar",0.4,IF(H29="Perfectiva",0.3,IF(H29="Somente teste",0.15,IF(H29="Teste + Plano",0.2,IF(H29="Criar",1,IF(OR(AND(H29&lt;&gt;"Modificar",H29&lt;&gt;"Dados de Código"),M29="-",S29="-"),"-",IF(OR(I29="ALI",I29="AIE"),IF(LEFT(C29)&lt;&gt;"A","-",IF(AND(SUM(J29:L29)=0,SUM(O29:Q29)=0),IF(C29&lt;&gt;I29,0.4,"-"),IF(H29="Modificar",HLOOKUP(S29,{0,34,68,101;0.25,0.5,0.75,1},2),HLOOKUP(S29,{0,34,68,101;0.25,0.5,0.75,1},2)*0.1))),IF(OR(AND(I29&lt;&gt;"EE",I29&lt;&gt;"SE",I29&lt;&gt;"CE"),N29="-"),"-", IF(H29="Modificar",VLOOKUP(N29,{0,0.25,0.5,0.75;34,0.5,0.75,1;68,0.75,1,1;101,1,1,1},MATCH(S29,{0,68,101})+1),VLOOKUP(N29,{0,0.25,0.5,0.75;34,0.5,0.75,1;68,0.75,1,1;101,1,1,1},MATCH(S29,{0,68,101})+1)*0.1)))))))))))</f>
        <v>1</v>
      </c>
      <c r="U29" s="14" t="str">
        <f>IF(AND(H29="Modificar",D29+E29=0),F29,IF(OR(T29="-",AND(OR(H29="Perfectiva",H29="Somente teste",H29="Teste + Plano"),F29="-",I29=""),AND(H29="Eliminar",AND(C29&lt;&gt;I29,I29&lt;&gt;"-",I29&lt;&gt;""))),"-",IF(AND(H29="Criar",OR(AND(C29&lt;&gt;"",C29&lt;&gt;"-"),F29&lt;&gt;"-",I29="")),"X",IF(AND(A29&lt;&gt;"",H29&lt;&gt;"Eliminar",F29="-",T29&lt;&gt;0,J29+K29+L29+O29+P29+Q29=0),IF(OR(I29="ALI",I29="AIE"),"Baixo","Médio"),IF(AND(OR(M29="-",R29="-"),OR(H29="Criar",F29="-",AND(H29="Eliminar",J29+K29+L29+O29+P29+Q29&lt;&gt;0))),"-",IF(OR(H29="Perfectiva",H29="Eliminar",H29="Somente teste",H29="Teste + Plano"),F29,IF(OR(I29="ALI",I29="AIE"),IF(M29=0,"-",VLOOKUP(M29,{1,"Baixo","Baixo","Médio";2,"Baixo","Médio","Alto";6,"Médio","Alto","Alto"},MATCH(R29,{1,20,51})+1)),IF(I29="EE",VLOOKUP(M29,{0,"Baixo","Baixo","Médio";2,"Baixo","Médio","Alto";3,"Médio","Alto","Alto"},MATCH(R29,{1,5,16})+1),IF(OR(I29="SE",I29="CE"),IF(AND(M29=0,I29="CE"),IF(OR(H29="Perfectiva",H29="Eliminar",H29="Somente teste",H29="Teste + Plano",H29="Modificar"),F29,"-"),VLOOKUP(M29,{0,"Baixo","Baixo","Médio";2,"Baixo","Médio","Alto";4,"Médio","Alto","Alto"},MATCH(R29,{1,6,20})+1)),)))))))))</f>
        <v>Médio</v>
      </c>
      <c r="V29" s="14">
        <f>IF(OR(T29="-",U29="-",OR(AND(OR(I29="-",I29=""),OR(H29="Modificar",H29="Dados de Código")))),"-",IF(H29="Eliminar",G29*T29,IF(AND(OR(H29="Teste + Plano",H29="Somente teste"),F29&lt;&gt;"-"),(G29*0.5)*T29,T29*VLOOKUP(I29,{"ALI",7,10,15;"AIE",5,7,10;"EE",3,4,6;"SE",4,5,7;"CE",3,4,6},MATCH(U29,{"Baixo","Médio","Alto"},0)+1,FALSE))))</f>
        <v>5</v>
      </c>
      <c r="W29" s="15" t="s">
        <v>32</v>
      </c>
      <c r="X29" s="40"/>
      <c r="Y29" s="40"/>
      <c r="Z29" s="40"/>
      <c r="AA29" s="40"/>
      <c r="AB29" s="40"/>
      <c r="AC29" s="40"/>
      <c r="AD29" s="8"/>
      <c r="AE29" s="8"/>
    </row>
    <row r="30" spans="1:31" ht="39.950000000000003" customHeight="1" x14ac:dyDescent="0.2">
      <c r="A30" s="9" t="s">
        <v>111</v>
      </c>
      <c r="B30" s="9" t="s">
        <v>88</v>
      </c>
      <c r="C30" s="10" t="s">
        <v>70</v>
      </c>
      <c r="D30" s="11"/>
      <c r="E30" s="11"/>
      <c r="F30" s="12" t="str">
        <f>IF(OR(TRIM(A30)="",AND(E30=0,D30&lt;&gt;0)),"-",IF(AND(OR(C30="EE",C30="CE",C30="SE"),D30=0,E30=0), "Médio", IF(AND(OR(C30="ALI",C30="AIE"),D30=0,E30=0),"Baixo",IF(OR(C30="ALI",C30="AIE"),IF(D30=0,"-",VLOOKUP(D30,{1,"Baixo","Baixo","Médio";2,"Baixo","Médio","Alto";6,"Médio","Alto","Alto"},MATCH(E30,{1,20,51})+1)),IF(C30="EE",VLOOKUP(D30,{0,"Baixo","Baixo","Médio";2,"Baixo","Médio","Alto";3,"Médio","Alto","Alto"},MATCH(E30,{1,5,16})+1),IF(OR(C30="SE",C30="CE"),IF(AND(D30=0,C30="CE"),"-",VLOOKUP(D30,{0,"Baixo","Baixo","Médio";2,"Baixo","Médio","Alto";4,"Médio","Alto","Alto"},MATCH(E30,{1,6,20})+1)),"-"))))))</f>
        <v>-</v>
      </c>
      <c r="G30" s="13" t="str">
        <f>IF(F30="-","-",VLOOKUP(C30,{"ALI",7,10,15;"AIE",5,7,10;"EE",3,4,6;"SE",4,5,7;"CE",3,4,6},MATCH(F30,{"Baixo","Médio","Alto"},0)+1,FALSE))</f>
        <v>-</v>
      </c>
      <c r="H30" s="11" t="s">
        <v>77</v>
      </c>
      <c r="I30" s="15" t="s">
        <v>73</v>
      </c>
      <c r="J30" s="11"/>
      <c r="K30" s="11"/>
      <c r="L30" s="11"/>
      <c r="M30" s="12">
        <f t="shared" si="52"/>
        <v>0</v>
      </c>
      <c r="N30" s="13" t="str">
        <f t="shared" si="53"/>
        <v>-</v>
      </c>
      <c r="O30" s="11"/>
      <c r="P30" s="11"/>
      <c r="Q30" s="11"/>
      <c r="R30" s="12" t="str">
        <f t="shared" si="54"/>
        <v>-</v>
      </c>
      <c r="S30" s="13" t="str">
        <f t="shared" si="55"/>
        <v>-</v>
      </c>
      <c r="T30" s="14">
        <f>IF(AND(H30="Modificar",SUM(J30:R30)=0),0.25,IF(AND(H30="Dados de Código",AND(D30+E30=0,OR(C30="-",C30=""))),0.1,IF(H30="Eliminar",0.4,IF(H30="Perfectiva",0.3,IF(H30="Somente teste",0.15,IF(H30="Teste + Plano",0.2,IF(H30="Criar",1,IF(OR(AND(H30&lt;&gt;"Modificar",H30&lt;&gt;"Dados de Código"),M30="-",S30="-"),"-",IF(OR(I30="ALI",I30="AIE"),IF(LEFT(C30)&lt;&gt;"A","-",IF(AND(SUM(J30:L30)=0,SUM(O30:Q30)=0),IF(C30&lt;&gt;I30,0.4,"-"),IF(H30="Modificar",HLOOKUP(S30,{0,34,68,101;0.25,0.5,0.75,1},2),HLOOKUP(S30,{0,34,68,101;0.25,0.5,0.75,1},2)*0.1))),IF(OR(AND(I30&lt;&gt;"EE",I30&lt;&gt;"SE",I30&lt;&gt;"CE"),N30="-"),"-", IF(H30="Modificar",VLOOKUP(N30,{0,0.25,0.5,0.75;34,0.5,0.75,1;68,0.75,1,1;101,1,1,1},MATCH(S30,{0,68,101})+1),VLOOKUP(N30,{0,0.25,0.5,0.75;34,0.5,0.75,1;68,0.75,1,1;101,1,1,1},MATCH(S30,{0,68,101})+1)*0.1)))))))))))</f>
        <v>1</v>
      </c>
      <c r="U30" s="14" t="str">
        <f>IF(AND(H30="Modificar",D30+E30=0),F30,IF(OR(T30="-",AND(OR(H30="Perfectiva",H30="Somente teste",H30="Teste + Plano"),F30="-",I30=""),AND(H30="Eliminar",AND(C30&lt;&gt;I30,I30&lt;&gt;"-",I30&lt;&gt;""))),"-",IF(AND(H30="Criar",OR(AND(C30&lt;&gt;"",C30&lt;&gt;"-"),F30&lt;&gt;"-",I30="")),"X",IF(AND(A30&lt;&gt;"",H30&lt;&gt;"Eliminar",F30="-",T30&lt;&gt;0,J30+K30+L30+O30+P30+Q30=0),IF(OR(I30="ALI",I30="AIE"),"Baixo","Médio"),IF(AND(OR(M30="-",R30="-"),OR(H30="Criar",F30="-",AND(H30="Eliminar",J30+K30+L30+O30+P30+Q30&lt;&gt;0))),"-",IF(OR(H30="Perfectiva",H30="Eliminar",H30="Somente teste",H30="Teste + Plano"),F30,IF(OR(I30="ALI",I30="AIE"),IF(M30=0,"-",VLOOKUP(M30,{1,"Baixo","Baixo","Médio";2,"Baixo","Médio","Alto";6,"Médio","Alto","Alto"},MATCH(R30,{1,20,51})+1)),IF(I30="EE",VLOOKUP(M30,{0,"Baixo","Baixo","Médio";2,"Baixo","Médio","Alto";3,"Médio","Alto","Alto"},MATCH(R30,{1,5,16})+1),IF(OR(I30="SE",I30="CE"),IF(AND(M30=0,I30="CE"),IF(OR(H30="Perfectiva",H30="Eliminar",H30="Somente teste",H30="Teste + Plano",H30="Modificar"),F30,"-"),VLOOKUP(M30,{0,"Baixo","Baixo","Médio";2,"Baixo","Médio","Alto";4,"Médio","Alto","Alto"},MATCH(R30,{1,6,20})+1)),)))))))))</f>
        <v>Médio</v>
      </c>
      <c r="V30" s="14">
        <f>IF(OR(T30="-",U30="-",OR(AND(OR(I30="-",I30=""),OR(H30="Modificar",H30="Dados de Código")))),"-",IF(H30="Eliminar",G30*T30,IF(AND(OR(H30="Teste + Plano",H30="Somente teste"),F30&lt;&gt;"-"),(G30*0.5)*T30,T30*VLOOKUP(I30,{"ALI",7,10,15;"AIE",5,7,10;"EE",3,4,6;"SE",4,5,7;"CE",3,4,6},MATCH(U30,{"Baixo","Médio","Alto"},0)+1,FALSE))))</f>
        <v>5</v>
      </c>
      <c r="W30" s="15" t="s">
        <v>32</v>
      </c>
      <c r="X30" s="40"/>
      <c r="Y30" s="40"/>
      <c r="Z30" s="40"/>
      <c r="AA30" s="40"/>
      <c r="AB30" s="40"/>
      <c r="AC30" s="40"/>
      <c r="AD30" s="8"/>
      <c r="AE30" s="8"/>
    </row>
    <row r="31" spans="1:31" ht="39.950000000000003" customHeight="1" x14ac:dyDescent="0.2">
      <c r="A31" s="9" t="s">
        <v>112</v>
      </c>
      <c r="B31" s="9" t="s">
        <v>88</v>
      </c>
      <c r="C31" s="10" t="s">
        <v>70</v>
      </c>
      <c r="D31" s="11"/>
      <c r="E31" s="11"/>
      <c r="F31" s="12" t="str">
        <f>IF(OR(TRIM(A31)="",AND(E31=0,D31&lt;&gt;0)),"-",IF(AND(OR(C31="EE",C31="CE",C31="SE"),D31=0,E31=0), "Médio", IF(AND(OR(C31="ALI",C31="AIE"),D31=0,E31=0),"Baixo",IF(OR(C31="ALI",C31="AIE"),IF(D31=0,"-",VLOOKUP(D31,{1,"Baixo","Baixo","Médio";2,"Baixo","Médio","Alto";6,"Médio","Alto","Alto"},MATCH(E31,{1,20,51})+1)),IF(C31="EE",VLOOKUP(D31,{0,"Baixo","Baixo","Médio";2,"Baixo","Médio","Alto";3,"Médio","Alto","Alto"},MATCH(E31,{1,5,16})+1),IF(OR(C31="SE",C31="CE"),IF(AND(D31=0,C31="CE"),"-",VLOOKUP(D31,{0,"Baixo","Baixo","Médio";2,"Baixo","Médio","Alto";4,"Médio","Alto","Alto"},MATCH(E31,{1,6,20})+1)),"-"))))))</f>
        <v>-</v>
      </c>
      <c r="G31" s="13" t="str">
        <f>IF(F31="-","-",VLOOKUP(C31,{"ALI",7,10,15;"AIE",5,7,10;"EE",3,4,6;"SE",4,5,7;"CE",3,4,6},MATCH(F31,{"Baixo","Médio","Alto"},0)+1,FALSE))</f>
        <v>-</v>
      </c>
      <c r="H31" s="11" t="s">
        <v>77</v>
      </c>
      <c r="I31" s="15" t="s">
        <v>73</v>
      </c>
      <c r="J31" s="11"/>
      <c r="K31" s="11"/>
      <c r="L31" s="11"/>
      <c r="M31" s="12">
        <f t="shared" si="52"/>
        <v>0</v>
      </c>
      <c r="N31" s="13" t="str">
        <f t="shared" si="53"/>
        <v>-</v>
      </c>
      <c r="O31" s="11"/>
      <c r="P31" s="11"/>
      <c r="Q31" s="11"/>
      <c r="R31" s="12" t="str">
        <f t="shared" si="54"/>
        <v>-</v>
      </c>
      <c r="S31" s="13" t="str">
        <f t="shared" si="55"/>
        <v>-</v>
      </c>
      <c r="T31" s="14">
        <f>IF(AND(H31="Modificar",SUM(J31:R31)=0),0.25,IF(AND(H31="Dados de Código",AND(D31+E31=0,OR(C31="-",C31=""))),0.1,IF(H31="Eliminar",0.4,IF(H31="Perfectiva",0.3,IF(H31="Somente teste",0.15,IF(H31="Teste + Plano",0.2,IF(H31="Criar",1,IF(OR(AND(H31&lt;&gt;"Modificar",H31&lt;&gt;"Dados de Código"),M31="-",S31="-"),"-",IF(OR(I31="ALI",I31="AIE"),IF(LEFT(C31)&lt;&gt;"A","-",IF(AND(SUM(J31:L31)=0,SUM(O31:Q31)=0),IF(C31&lt;&gt;I31,0.4,"-"),IF(H31="Modificar",HLOOKUP(S31,{0,34,68,101;0.25,0.5,0.75,1},2),HLOOKUP(S31,{0,34,68,101;0.25,0.5,0.75,1},2)*0.1))),IF(OR(AND(I31&lt;&gt;"EE",I31&lt;&gt;"SE",I31&lt;&gt;"CE"),N31="-"),"-", IF(H31="Modificar",VLOOKUP(N31,{0,0.25,0.5,0.75;34,0.5,0.75,1;68,0.75,1,1;101,1,1,1},MATCH(S31,{0,68,101})+1),VLOOKUP(N31,{0,0.25,0.5,0.75;34,0.5,0.75,1;68,0.75,1,1;101,1,1,1},MATCH(S31,{0,68,101})+1)*0.1)))))))))))</f>
        <v>1</v>
      </c>
      <c r="U31" s="14" t="str">
        <f>IF(AND(H31="Modificar",D31+E31=0),F31,IF(OR(T31="-",AND(OR(H31="Perfectiva",H31="Somente teste",H31="Teste + Plano"),F31="-",I31=""),AND(H31="Eliminar",AND(C31&lt;&gt;I31,I31&lt;&gt;"-",I31&lt;&gt;""))),"-",IF(AND(H31="Criar",OR(AND(C31&lt;&gt;"",C31&lt;&gt;"-"),F31&lt;&gt;"-",I31="")),"X",IF(AND(A31&lt;&gt;"",H31&lt;&gt;"Eliminar",F31="-",T31&lt;&gt;0,J31+K31+L31+O31+P31+Q31=0),IF(OR(I31="ALI",I31="AIE"),"Baixo","Médio"),IF(AND(OR(M31="-",R31="-"),OR(H31="Criar",F31="-",AND(H31="Eliminar",J31+K31+L31+O31+P31+Q31&lt;&gt;0))),"-",IF(OR(H31="Perfectiva",H31="Eliminar",H31="Somente teste",H31="Teste + Plano"),F31,IF(OR(I31="ALI",I31="AIE"),IF(M31=0,"-",VLOOKUP(M31,{1,"Baixo","Baixo","Médio";2,"Baixo","Médio","Alto";6,"Médio","Alto","Alto"},MATCH(R31,{1,20,51})+1)),IF(I31="EE",VLOOKUP(M31,{0,"Baixo","Baixo","Médio";2,"Baixo","Médio","Alto";3,"Médio","Alto","Alto"},MATCH(R31,{1,5,16})+1),IF(OR(I31="SE",I31="CE"),IF(AND(M31=0,I31="CE"),IF(OR(H31="Perfectiva",H31="Eliminar",H31="Somente teste",H31="Teste + Plano",H31="Modificar"),F31,"-"),VLOOKUP(M31,{0,"Baixo","Baixo","Médio";2,"Baixo","Médio","Alto";4,"Médio","Alto","Alto"},MATCH(R31,{1,6,20})+1)),)))))))))</f>
        <v>Médio</v>
      </c>
      <c r="V31" s="14">
        <f>IF(OR(T31="-",U31="-",OR(AND(OR(I31="-",I31=""),OR(H31="Modificar",H31="Dados de Código")))),"-",IF(H31="Eliminar",G31*T31,IF(AND(OR(H31="Teste + Plano",H31="Somente teste"),F31&lt;&gt;"-"),(G31*0.5)*T31,T31*VLOOKUP(I31,{"ALI",7,10,15;"AIE",5,7,10;"EE",3,4,6;"SE",4,5,7;"CE",3,4,6},MATCH(U31,{"Baixo","Médio","Alto"},0)+1,FALSE))))</f>
        <v>5</v>
      </c>
      <c r="W31" s="15" t="s">
        <v>32</v>
      </c>
      <c r="X31" s="40"/>
      <c r="Y31" s="40"/>
      <c r="Z31" s="40"/>
      <c r="AA31" s="40"/>
      <c r="AB31" s="40"/>
      <c r="AC31" s="40"/>
      <c r="AD31" s="8"/>
      <c r="AE31" s="8"/>
    </row>
    <row r="32" spans="1:31" ht="39.950000000000003" customHeight="1" x14ac:dyDescent="0.2">
      <c r="A32" s="9" t="s">
        <v>113</v>
      </c>
      <c r="B32" s="9" t="s">
        <v>88</v>
      </c>
      <c r="C32" s="10" t="s">
        <v>70</v>
      </c>
      <c r="D32" s="11"/>
      <c r="E32" s="11"/>
      <c r="F32" s="12" t="str">
        <f>IF(OR(TRIM(A32)="",AND(E32=0,D32&lt;&gt;0)),"-",IF(AND(OR(C32="EE",C32="CE",C32="SE"),D32=0,E32=0), "Médio", IF(AND(OR(C32="ALI",C32="AIE"),D32=0,E32=0),"Baixo",IF(OR(C32="ALI",C32="AIE"),IF(D32=0,"-",VLOOKUP(D32,{1,"Baixo","Baixo","Médio";2,"Baixo","Médio","Alto";6,"Médio","Alto","Alto"},MATCH(E32,{1,20,51})+1)),IF(C32="EE",VLOOKUP(D32,{0,"Baixo","Baixo","Médio";2,"Baixo","Médio","Alto";3,"Médio","Alto","Alto"},MATCH(E32,{1,5,16})+1),IF(OR(C32="SE",C32="CE"),IF(AND(D32=0,C32="CE"),"-",VLOOKUP(D32,{0,"Baixo","Baixo","Médio";2,"Baixo","Médio","Alto";4,"Médio","Alto","Alto"},MATCH(E32,{1,6,20})+1)),"-"))))))</f>
        <v>-</v>
      </c>
      <c r="G32" s="13" t="str">
        <f>IF(F32="-","-",VLOOKUP(C32,{"ALI",7,10,15;"AIE",5,7,10;"EE",3,4,6;"SE",4,5,7;"CE",3,4,6},MATCH(F32,{"Baixo","Médio","Alto"},0)+1,FALSE))</f>
        <v>-</v>
      </c>
      <c r="H32" s="11" t="s">
        <v>77</v>
      </c>
      <c r="I32" s="15" t="s">
        <v>73</v>
      </c>
      <c r="J32" s="11"/>
      <c r="K32" s="11"/>
      <c r="L32" s="11"/>
      <c r="M32" s="12">
        <f t="shared" si="52"/>
        <v>0</v>
      </c>
      <c r="N32" s="13" t="str">
        <f t="shared" si="53"/>
        <v>-</v>
      </c>
      <c r="O32" s="11"/>
      <c r="P32" s="11"/>
      <c r="Q32" s="11"/>
      <c r="R32" s="12" t="str">
        <f t="shared" si="54"/>
        <v>-</v>
      </c>
      <c r="S32" s="13" t="str">
        <f t="shared" si="55"/>
        <v>-</v>
      </c>
      <c r="T32" s="14">
        <f>IF(AND(H32="Modificar",SUM(J32:R32)=0),0.25,IF(AND(H32="Dados de Código",AND(D32+E32=0,OR(C32="-",C32=""))),0.1,IF(H32="Eliminar",0.4,IF(H32="Perfectiva",0.3,IF(H32="Somente teste",0.15,IF(H32="Teste + Plano",0.2,IF(H32="Criar",1,IF(OR(AND(H32&lt;&gt;"Modificar",H32&lt;&gt;"Dados de Código"),M32="-",S32="-"),"-",IF(OR(I32="ALI",I32="AIE"),IF(LEFT(C32)&lt;&gt;"A","-",IF(AND(SUM(J32:L32)=0,SUM(O32:Q32)=0),IF(C32&lt;&gt;I32,0.4,"-"),IF(H32="Modificar",HLOOKUP(S32,{0,34,68,101;0.25,0.5,0.75,1},2),HLOOKUP(S32,{0,34,68,101;0.25,0.5,0.75,1},2)*0.1))),IF(OR(AND(I32&lt;&gt;"EE",I32&lt;&gt;"SE",I32&lt;&gt;"CE"),N32="-"),"-", IF(H32="Modificar",VLOOKUP(N32,{0,0.25,0.5,0.75;34,0.5,0.75,1;68,0.75,1,1;101,1,1,1},MATCH(S32,{0,68,101})+1),VLOOKUP(N32,{0,0.25,0.5,0.75;34,0.5,0.75,1;68,0.75,1,1;101,1,1,1},MATCH(S32,{0,68,101})+1)*0.1)))))))))))</f>
        <v>1</v>
      </c>
      <c r="U32" s="14" t="str">
        <f>IF(AND(H32="Modificar",D32+E32=0),F32,IF(OR(T32="-",AND(OR(H32="Perfectiva",H32="Somente teste",H32="Teste + Plano"),F32="-",I32=""),AND(H32="Eliminar",AND(C32&lt;&gt;I32,I32&lt;&gt;"-",I32&lt;&gt;""))),"-",IF(AND(H32="Criar",OR(AND(C32&lt;&gt;"",C32&lt;&gt;"-"),F32&lt;&gt;"-",I32="")),"X",IF(AND(A32&lt;&gt;"",H32&lt;&gt;"Eliminar",F32="-",T32&lt;&gt;0,J32+K32+L32+O32+P32+Q32=0),IF(OR(I32="ALI",I32="AIE"),"Baixo","Médio"),IF(AND(OR(M32="-",R32="-"),OR(H32="Criar",F32="-",AND(H32="Eliminar",J32+K32+L32+O32+P32+Q32&lt;&gt;0))),"-",IF(OR(H32="Perfectiva",H32="Eliminar",H32="Somente teste",H32="Teste + Plano"),F32,IF(OR(I32="ALI",I32="AIE"),IF(M32=0,"-",VLOOKUP(M32,{1,"Baixo","Baixo","Médio";2,"Baixo","Médio","Alto";6,"Médio","Alto","Alto"},MATCH(R32,{1,20,51})+1)),IF(I32="EE",VLOOKUP(M32,{0,"Baixo","Baixo","Médio";2,"Baixo","Médio","Alto";3,"Médio","Alto","Alto"},MATCH(R32,{1,5,16})+1),IF(OR(I32="SE",I32="CE"),IF(AND(M32=0,I32="CE"),IF(OR(H32="Perfectiva",H32="Eliminar",H32="Somente teste",H32="Teste + Plano",H32="Modificar"),F32,"-"),VLOOKUP(M32,{0,"Baixo","Baixo","Médio";2,"Baixo","Médio","Alto";4,"Médio","Alto","Alto"},MATCH(R32,{1,6,20})+1)),)))))))))</f>
        <v>Médio</v>
      </c>
      <c r="V32" s="14">
        <f>IF(OR(T32="-",U32="-",OR(AND(OR(I32="-",I32=""),OR(H32="Modificar",H32="Dados de Código")))),"-",IF(H32="Eliminar",G32*T32,IF(AND(OR(H32="Teste + Plano",H32="Somente teste"),F32&lt;&gt;"-"),(G32*0.5)*T32,T32*VLOOKUP(I32,{"ALI",7,10,15;"AIE",5,7,10;"EE",3,4,6;"SE",4,5,7;"CE",3,4,6},MATCH(U32,{"Baixo","Médio","Alto"},0)+1,FALSE))))</f>
        <v>5</v>
      </c>
      <c r="W32" s="15" t="s">
        <v>32</v>
      </c>
      <c r="X32" s="40"/>
      <c r="Y32" s="40"/>
      <c r="Z32" s="40"/>
      <c r="AA32" s="40"/>
      <c r="AB32" s="40"/>
      <c r="AC32" s="40"/>
      <c r="AD32" s="8"/>
      <c r="AE32" s="8"/>
    </row>
    <row r="33" spans="1:31" ht="39.950000000000003" customHeight="1" x14ac:dyDescent="0.2">
      <c r="A33" s="9" t="s">
        <v>114</v>
      </c>
      <c r="B33" s="9" t="s">
        <v>88</v>
      </c>
      <c r="C33" s="10" t="s">
        <v>70</v>
      </c>
      <c r="D33" s="11"/>
      <c r="E33" s="11"/>
      <c r="F33" s="12" t="str">
        <f>IF(OR(TRIM(A33)="",AND(E33=0,D33&lt;&gt;0)),"-",IF(AND(OR(C33="EE",C33="CE",C33="SE"),D33=0,E33=0), "Médio", IF(AND(OR(C33="ALI",C33="AIE"),D33=0,E33=0),"Baixo",IF(OR(C33="ALI",C33="AIE"),IF(D33=0,"-",VLOOKUP(D33,{1,"Baixo","Baixo","Médio";2,"Baixo","Médio","Alto";6,"Médio","Alto","Alto"},MATCH(E33,{1,20,51})+1)),IF(C33="EE",VLOOKUP(D33,{0,"Baixo","Baixo","Médio";2,"Baixo","Médio","Alto";3,"Médio","Alto","Alto"},MATCH(E33,{1,5,16})+1),IF(OR(C33="SE",C33="CE"),IF(AND(D33=0,C33="CE"),"-",VLOOKUP(D33,{0,"Baixo","Baixo","Médio";2,"Baixo","Médio","Alto";4,"Médio","Alto","Alto"},MATCH(E33,{1,6,20})+1)),"-"))))))</f>
        <v>-</v>
      </c>
      <c r="G33" s="13" t="str">
        <f>IF(F33="-","-",VLOOKUP(C33,{"ALI",7,10,15;"AIE",5,7,10;"EE",3,4,6;"SE",4,5,7;"CE",3,4,6},MATCH(F33,{"Baixo","Médio","Alto"},0)+1,FALSE))</f>
        <v>-</v>
      </c>
      <c r="H33" s="11" t="s">
        <v>77</v>
      </c>
      <c r="I33" s="15" t="s">
        <v>73</v>
      </c>
      <c r="J33" s="11"/>
      <c r="K33" s="11"/>
      <c r="L33" s="11"/>
      <c r="M33" s="12">
        <f t="shared" si="52"/>
        <v>0</v>
      </c>
      <c r="N33" s="13" t="str">
        <f t="shared" si="53"/>
        <v>-</v>
      </c>
      <c r="O33" s="11"/>
      <c r="P33" s="11"/>
      <c r="Q33" s="11"/>
      <c r="R33" s="12" t="str">
        <f t="shared" si="54"/>
        <v>-</v>
      </c>
      <c r="S33" s="13" t="str">
        <f t="shared" si="55"/>
        <v>-</v>
      </c>
      <c r="T33" s="14">
        <f>IF(AND(H33="Modificar",SUM(J33:R33)=0),0.25,IF(AND(H33="Dados de Código",AND(D33+E33=0,OR(C33="-",C33=""))),0.1,IF(H33="Eliminar",0.4,IF(H33="Perfectiva",0.3,IF(H33="Somente teste",0.15,IF(H33="Teste + Plano",0.2,IF(H33="Criar",1,IF(OR(AND(H33&lt;&gt;"Modificar",H33&lt;&gt;"Dados de Código"),M33="-",S33="-"),"-",IF(OR(I33="ALI",I33="AIE"),IF(LEFT(C33)&lt;&gt;"A","-",IF(AND(SUM(J33:L33)=0,SUM(O33:Q33)=0),IF(C33&lt;&gt;I33,0.4,"-"),IF(H33="Modificar",HLOOKUP(S33,{0,34,68,101;0.25,0.5,0.75,1},2),HLOOKUP(S33,{0,34,68,101;0.25,0.5,0.75,1},2)*0.1))),IF(OR(AND(I33&lt;&gt;"EE",I33&lt;&gt;"SE",I33&lt;&gt;"CE"),N33="-"),"-", IF(H33="Modificar",VLOOKUP(N33,{0,0.25,0.5,0.75;34,0.5,0.75,1;68,0.75,1,1;101,1,1,1},MATCH(S33,{0,68,101})+1),VLOOKUP(N33,{0,0.25,0.5,0.75;34,0.5,0.75,1;68,0.75,1,1;101,1,1,1},MATCH(S33,{0,68,101})+1)*0.1)))))))))))</f>
        <v>1</v>
      </c>
      <c r="U33" s="14" t="str">
        <f>IF(AND(H33="Modificar",D33+E33=0),F33,IF(OR(T33="-",AND(OR(H33="Perfectiva",H33="Somente teste",H33="Teste + Plano"),F33="-",I33=""),AND(H33="Eliminar",AND(C33&lt;&gt;I33,I33&lt;&gt;"-",I33&lt;&gt;""))),"-",IF(AND(H33="Criar",OR(AND(C33&lt;&gt;"",C33&lt;&gt;"-"),F33&lt;&gt;"-",I33="")),"X",IF(AND(A33&lt;&gt;"",H33&lt;&gt;"Eliminar",F33="-",T33&lt;&gt;0,J33+K33+L33+O33+P33+Q33=0),IF(OR(I33="ALI",I33="AIE"),"Baixo","Médio"),IF(AND(OR(M33="-",R33="-"),OR(H33="Criar",F33="-",AND(H33="Eliminar",J33+K33+L33+O33+P33+Q33&lt;&gt;0))),"-",IF(OR(H33="Perfectiva",H33="Eliminar",H33="Somente teste",H33="Teste + Plano"),F33,IF(OR(I33="ALI",I33="AIE"),IF(M33=0,"-",VLOOKUP(M33,{1,"Baixo","Baixo","Médio";2,"Baixo","Médio","Alto";6,"Médio","Alto","Alto"},MATCH(R33,{1,20,51})+1)),IF(I33="EE",VLOOKUP(M33,{0,"Baixo","Baixo","Médio";2,"Baixo","Médio","Alto";3,"Médio","Alto","Alto"},MATCH(R33,{1,5,16})+1),IF(OR(I33="SE",I33="CE"),IF(AND(M33=0,I33="CE"),IF(OR(H33="Perfectiva",H33="Eliminar",H33="Somente teste",H33="Teste + Plano",H33="Modificar"),F33,"-"),VLOOKUP(M33,{0,"Baixo","Baixo","Médio";2,"Baixo","Médio","Alto";4,"Médio","Alto","Alto"},MATCH(R33,{1,6,20})+1)),)))))))))</f>
        <v>Médio</v>
      </c>
      <c r="V33" s="14">
        <f>IF(OR(T33="-",U33="-",OR(AND(OR(I33="-",I33=""),OR(H33="Modificar",H33="Dados de Código")))),"-",IF(H33="Eliminar",G33*T33,IF(AND(OR(H33="Teste + Plano",H33="Somente teste"),F33&lt;&gt;"-"),(G33*0.5)*T33,T33*VLOOKUP(I33,{"ALI",7,10,15;"AIE",5,7,10;"EE",3,4,6;"SE",4,5,7;"CE",3,4,6},MATCH(U33,{"Baixo","Médio","Alto"},0)+1,FALSE))))</f>
        <v>5</v>
      </c>
      <c r="W33" s="15" t="s">
        <v>32</v>
      </c>
      <c r="X33" s="40"/>
      <c r="Y33" s="40"/>
      <c r="Z33" s="40"/>
      <c r="AA33" s="40"/>
      <c r="AB33" s="40"/>
      <c r="AC33" s="40"/>
      <c r="AD33" s="8"/>
      <c r="AE33" s="8"/>
    </row>
    <row r="34" spans="1:31" ht="39.950000000000003" customHeight="1" x14ac:dyDescent="0.2">
      <c r="A34" s="9" t="s">
        <v>115</v>
      </c>
      <c r="B34" s="9" t="s">
        <v>88</v>
      </c>
      <c r="C34" s="10" t="s">
        <v>70</v>
      </c>
      <c r="D34" s="11"/>
      <c r="E34" s="11"/>
      <c r="F34" s="12" t="str">
        <f>IF(OR(TRIM(A34)="",AND(E34=0,D34&lt;&gt;0)),"-",IF(AND(OR(C34="EE",C34="CE",C34="SE"),D34=0,E34=0), "Médio", IF(AND(OR(C34="ALI",C34="AIE"),D34=0,E34=0),"Baixo",IF(OR(C34="ALI",C34="AIE"),IF(D34=0,"-",VLOOKUP(D34,{1,"Baixo","Baixo","Médio";2,"Baixo","Médio","Alto";6,"Médio","Alto","Alto"},MATCH(E34,{1,20,51})+1)),IF(C34="EE",VLOOKUP(D34,{0,"Baixo","Baixo","Médio";2,"Baixo","Médio","Alto";3,"Médio","Alto","Alto"},MATCH(E34,{1,5,16})+1),IF(OR(C34="SE",C34="CE"),IF(AND(D34=0,C34="CE"),"-",VLOOKUP(D34,{0,"Baixo","Baixo","Médio";2,"Baixo","Médio","Alto";4,"Médio","Alto","Alto"},MATCH(E34,{1,6,20})+1)),"-"))))))</f>
        <v>-</v>
      </c>
      <c r="G34" s="13" t="str">
        <f>IF(F34="-","-",VLOOKUP(C34,{"ALI",7,10,15;"AIE",5,7,10;"EE",3,4,6;"SE",4,5,7;"CE",3,4,6},MATCH(F34,{"Baixo","Médio","Alto"},0)+1,FALSE))</f>
        <v>-</v>
      </c>
      <c r="H34" s="11" t="s">
        <v>77</v>
      </c>
      <c r="I34" s="15" t="s">
        <v>73</v>
      </c>
      <c r="J34" s="11"/>
      <c r="K34" s="11"/>
      <c r="L34" s="11"/>
      <c r="M34" s="12">
        <f t="shared" si="52"/>
        <v>0</v>
      </c>
      <c r="N34" s="13" t="str">
        <f t="shared" si="53"/>
        <v>-</v>
      </c>
      <c r="O34" s="11"/>
      <c r="P34" s="11"/>
      <c r="Q34" s="11"/>
      <c r="R34" s="12" t="str">
        <f t="shared" si="54"/>
        <v>-</v>
      </c>
      <c r="S34" s="13" t="str">
        <f t="shared" si="55"/>
        <v>-</v>
      </c>
      <c r="T34" s="14">
        <f>IF(AND(H34="Modificar",SUM(J34:R34)=0),0.25,IF(AND(H34="Dados de Código",AND(D34+E34=0,OR(C34="-",C34=""))),0.1,IF(H34="Eliminar",0.4,IF(H34="Perfectiva",0.3,IF(H34="Somente teste",0.15,IF(H34="Teste + Plano",0.2,IF(H34="Criar",1,IF(OR(AND(H34&lt;&gt;"Modificar",H34&lt;&gt;"Dados de Código"),M34="-",S34="-"),"-",IF(OR(I34="ALI",I34="AIE"),IF(LEFT(C34)&lt;&gt;"A","-",IF(AND(SUM(J34:L34)=0,SUM(O34:Q34)=0),IF(C34&lt;&gt;I34,0.4,"-"),IF(H34="Modificar",HLOOKUP(S34,{0,34,68,101;0.25,0.5,0.75,1},2),HLOOKUP(S34,{0,34,68,101;0.25,0.5,0.75,1},2)*0.1))),IF(OR(AND(I34&lt;&gt;"EE",I34&lt;&gt;"SE",I34&lt;&gt;"CE"),N34="-"),"-", IF(H34="Modificar",VLOOKUP(N34,{0,0.25,0.5,0.75;34,0.5,0.75,1;68,0.75,1,1;101,1,1,1},MATCH(S34,{0,68,101})+1),VLOOKUP(N34,{0,0.25,0.5,0.75;34,0.5,0.75,1;68,0.75,1,1;101,1,1,1},MATCH(S34,{0,68,101})+1)*0.1)))))))))))</f>
        <v>1</v>
      </c>
      <c r="U34" s="14" t="str">
        <f>IF(AND(H34="Modificar",D34+E34=0),F34,IF(OR(T34="-",AND(OR(H34="Perfectiva",H34="Somente teste",H34="Teste + Plano"),F34="-",I34=""),AND(H34="Eliminar",AND(C34&lt;&gt;I34,I34&lt;&gt;"-",I34&lt;&gt;""))),"-",IF(AND(H34="Criar",OR(AND(C34&lt;&gt;"",C34&lt;&gt;"-"),F34&lt;&gt;"-",I34="")),"X",IF(AND(A34&lt;&gt;"",H34&lt;&gt;"Eliminar",F34="-",T34&lt;&gt;0,J34+K34+L34+O34+P34+Q34=0),IF(OR(I34="ALI",I34="AIE"),"Baixo","Médio"),IF(AND(OR(M34="-",R34="-"),OR(H34="Criar",F34="-",AND(H34="Eliminar",J34+K34+L34+O34+P34+Q34&lt;&gt;0))),"-",IF(OR(H34="Perfectiva",H34="Eliminar",H34="Somente teste",H34="Teste + Plano"),F34,IF(OR(I34="ALI",I34="AIE"),IF(M34=0,"-",VLOOKUP(M34,{1,"Baixo","Baixo","Médio";2,"Baixo","Médio","Alto";6,"Médio","Alto","Alto"},MATCH(R34,{1,20,51})+1)),IF(I34="EE",VLOOKUP(M34,{0,"Baixo","Baixo","Médio";2,"Baixo","Médio","Alto";3,"Médio","Alto","Alto"},MATCH(R34,{1,5,16})+1),IF(OR(I34="SE",I34="CE"),IF(AND(M34=0,I34="CE"),IF(OR(H34="Perfectiva",H34="Eliminar",H34="Somente teste",H34="Teste + Plano",H34="Modificar"),F34,"-"),VLOOKUP(M34,{0,"Baixo","Baixo","Médio";2,"Baixo","Médio","Alto";4,"Médio","Alto","Alto"},MATCH(R34,{1,6,20})+1)),)))))))))</f>
        <v>Médio</v>
      </c>
      <c r="V34" s="14">
        <f>IF(OR(T34="-",U34="-",OR(AND(OR(I34="-",I34=""),OR(H34="Modificar",H34="Dados de Código")))),"-",IF(H34="Eliminar",G34*T34,IF(AND(OR(H34="Teste + Plano",H34="Somente teste"),F34&lt;&gt;"-"),(G34*0.5)*T34,T34*VLOOKUP(I34,{"ALI",7,10,15;"AIE",5,7,10;"EE",3,4,6;"SE",4,5,7;"CE",3,4,6},MATCH(U34,{"Baixo","Médio","Alto"},0)+1,FALSE))))</f>
        <v>5</v>
      </c>
      <c r="W34" s="15" t="s">
        <v>32</v>
      </c>
      <c r="X34" s="40"/>
      <c r="Y34" s="40"/>
      <c r="Z34" s="40"/>
      <c r="AA34" s="40"/>
      <c r="AB34" s="40"/>
      <c r="AC34" s="40"/>
      <c r="AD34" s="8"/>
      <c r="AE34" s="8"/>
    </row>
    <row r="35" spans="1:31" ht="39.950000000000003" customHeight="1" x14ac:dyDescent="0.2">
      <c r="A35" s="9" t="s">
        <v>116</v>
      </c>
      <c r="B35" s="9" t="s">
        <v>88</v>
      </c>
      <c r="C35" s="10" t="s">
        <v>70</v>
      </c>
      <c r="D35" s="11"/>
      <c r="E35" s="11"/>
      <c r="F35" s="12" t="str">
        <f>IF(OR(TRIM(A35)="",AND(E35=0,D35&lt;&gt;0)),"-",IF(AND(OR(C35="EE",C35="CE",C35="SE"),D35=0,E35=0), "Médio", IF(AND(OR(C35="ALI",C35="AIE"),D35=0,E35=0),"Baixo",IF(OR(C35="ALI",C35="AIE"),IF(D35=0,"-",VLOOKUP(D35,{1,"Baixo","Baixo","Médio";2,"Baixo","Médio","Alto";6,"Médio","Alto","Alto"},MATCH(E35,{1,20,51})+1)),IF(C35="EE",VLOOKUP(D35,{0,"Baixo","Baixo","Médio";2,"Baixo","Médio","Alto";3,"Médio","Alto","Alto"},MATCH(E35,{1,5,16})+1),IF(OR(C35="SE",C35="CE"),IF(AND(D35=0,C35="CE"),"-",VLOOKUP(D35,{0,"Baixo","Baixo","Médio";2,"Baixo","Médio","Alto";4,"Médio","Alto","Alto"},MATCH(E35,{1,6,20})+1)),"-"))))))</f>
        <v>-</v>
      </c>
      <c r="G35" s="13" t="str">
        <f>IF(F35="-","-",VLOOKUP(C35,{"ALI",7,10,15;"AIE",5,7,10;"EE",3,4,6;"SE",4,5,7;"CE",3,4,6},MATCH(F35,{"Baixo","Médio","Alto"},0)+1,FALSE))</f>
        <v>-</v>
      </c>
      <c r="H35" s="11" t="s">
        <v>77</v>
      </c>
      <c r="I35" s="15" t="s">
        <v>73</v>
      </c>
      <c r="J35" s="11"/>
      <c r="K35" s="11"/>
      <c r="L35" s="11"/>
      <c r="M35" s="12">
        <f t="shared" si="52"/>
        <v>0</v>
      </c>
      <c r="N35" s="13" t="str">
        <f t="shared" si="53"/>
        <v>-</v>
      </c>
      <c r="O35" s="11"/>
      <c r="P35" s="11"/>
      <c r="Q35" s="11"/>
      <c r="R35" s="12" t="str">
        <f t="shared" si="54"/>
        <v>-</v>
      </c>
      <c r="S35" s="13" t="str">
        <f t="shared" si="55"/>
        <v>-</v>
      </c>
      <c r="T35" s="14">
        <f>IF(AND(H35="Modificar",SUM(J35:R35)=0),0.25,IF(AND(H35="Dados de Código",AND(D35+E35=0,OR(C35="-",C35=""))),0.1,IF(H35="Eliminar",0.4,IF(H35="Perfectiva",0.3,IF(H35="Somente teste",0.15,IF(H35="Teste + Plano",0.2,IF(H35="Criar",1,IF(OR(AND(H35&lt;&gt;"Modificar",H35&lt;&gt;"Dados de Código"),M35="-",S35="-"),"-",IF(OR(I35="ALI",I35="AIE"),IF(LEFT(C35)&lt;&gt;"A","-",IF(AND(SUM(J35:L35)=0,SUM(O35:Q35)=0),IF(C35&lt;&gt;I35,0.4,"-"),IF(H35="Modificar",HLOOKUP(S35,{0,34,68,101;0.25,0.5,0.75,1},2),HLOOKUP(S35,{0,34,68,101;0.25,0.5,0.75,1},2)*0.1))),IF(OR(AND(I35&lt;&gt;"EE",I35&lt;&gt;"SE",I35&lt;&gt;"CE"),N35="-"),"-", IF(H35="Modificar",VLOOKUP(N35,{0,0.25,0.5,0.75;34,0.5,0.75,1;68,0.75,1,1;101,1,1,1},MATCH(S35,{0,68,101})+1),VLOOKUP(N35,{0,0.25,0.5,0.75;34,0.5,0.75,1;68,0.75,1,1;101,1,1,1},MATCH(S35,{0,68,101})+1)*0.1)))))))))))</f>
        <v>1</v>
      </c>
      <c r="U35" s="14" t="str">
        <f>IF(AND(H35="Modificar",D35+E35=0),F35,IF(OR(T35="-",AND(OR(H35="Perfectiva",H35="Somente teste",H35="Teste + Plano"),F35="-",I35=""),AND(H35="Eliminar",AND(C35&lt;&gt;I35,I35&lt;&gt;"-",I35&lt;&gt;""))),"-",IF(AND(H35="Criar",OR(AND(C35&lt;&gt;"",C35&lt;&gt;"-"),F35&lt;&gt;"-",I35="")),"X",IF(AND(A35&lt;&gt;"",H35&lt;&gt;"Eliminar",F35="-",T35&lt;&gt;0,J35+K35+L35+O35+P35+Q35=0),IF(OR(I35="ALI",I35="AIE"),"Baixo","Médio"),IF(AND(OR(M35="-",R35="-"),OR(H35="Criar",F35="-",AND(H35="Eliminar",J35+K35+L35+O35+P35+Q35&lt;&gt;0))),"-",IF(OR(H35="Perfectiva",H35="Eliminar",H35="Somente teste",H35="Teste + Plano"),F35,IF(OR(I35="ALI",I35="AIE"),IF(M35=0,"-",VLOOKUP(M35,{1,"Baixo","Baixo","Médio";2,"Baixo","Médio","Alto";6,"Médio","Alto","Alto"},MATCH(R35,{1,20,51})+1)),IF(I35="EE",VLOOKUP(M35,{0,"Baixo","Baixo","Médio";2,"Baixo","Médio","Alto";3,"Médio","Alto","Alto"},MATCH(R35,{1,5,16})+1),IF(OR(I35="SE",I35="CE"),IF(AND(M35=0,I35="CE"),IF(OR(H35="Perfectiva",H35="Eliminar",H35="Somente teste",H35="Teste + Plano",H35="Modificar"),F35,"-"),VLOOKUP(M35,{0,"Baixo","Baixo","Médio";2,"Baixo","Médio","Alto";4,"Médio","Alto","Alto"},MATCH(R35,{1,6,20})+1)),)))))))))</f>
        <v>Médio</v>
      </c>
      <c r="V35" s="14">
        <f>IF(OR(T35="-",U35="-",OR(AND(OR(I35="-",I35=""),OR(H35="Modificar",H35="Dados de Código")))),"-",IF(H35="Eliminar",G35*T35,IF(AND(OR(H35="Teste + Plano",H35="Somente teste"),F35&lt;&gt;"-"),(G35*0.5)*T35,T35*VLOOKUP(I35,{"ALI",7,10,15;"AIE",5,7,10;"EE",3,4,6;"SE",4,5,7;"CE",3,4,6},MATCH(U35,{"Baixo","Médio","Alto"},0)+1,FALSE))))</f>
        <v>5</v>
      </c>
      <c r="W35" s="15" t="s">
        <v>32</v>
      </c>
      <c r="X35" s="40"/>
      <c r="Y35" s="40"/>
      <c r="Z35" s="40"/>
      <c r="AA35" s="40"/>
      <c r="AB35" s="40"/>
      <c r="AC35" s="40"/>
      <c r="AD35" s="8"/>
      <c r="AE35" s="8"/>
    </row>
    <row r="36" spans="1:31" ht="39.950000000000003" customHeight="1" x14ac:dyDescent="0.2">
      <c r="A36" s="9" t="s">
        <v>117</v>
      </c>
      <c r="B36" s="9" t="s">
        <v>88</v>
      </c>
      <c r="C36" s="10" t="s">
        <v>70</v>
      </c>
      <c r="D36" s="11"/>
      <c r="E36" s="11"/>
      <c r="F36" s="12" t="str">
        <f>IF(OR(TRIM(A36)="",AND(E36=0,D36&lt;&gt;0)),"-",IF(AND(OR(C36="EE",C36="CE",C36="SE"),D36=0,E36=0), "Médio", IF(AND(OR(C36="ALI",C36="AIE"),D36=0,E36=0),"Baixo",IF(OR(C36="ALI",C36="AIE"),IF(D36=0,"-",VLOOKUP(D36,{1,"Baixo","Baixo","Médio";2,"Baixo","Médio","Alto";6,"Médio","Alto","Alto"},MATCH(E36,{1,20,51})+1)),IF(C36="EE",VLOOKUP(D36,{0,"Baixo","Baixo","Médio";2,"Baixo","Médio","Alto";3,"Médio","Alto","Alto"},MATCH(E36,{1,5,16})+1),IF(OR(C36="SE",C36="CE"),IF(AND(D36=0,C36="CE"),"-",VLOOKUP(D36,{0,"Baixo","Baixo","Médio";2,"Baixo","Médio","Alto";4,"Médio","Alto","Alto"},MATCH(E36,{1,6,20})+1)),"-"))))))</f>
        <v>-</v>
      </c>
      <c r="G36" s="13" t="str">
        <f>IF(F36="-","-",VLOOKUP(C36,{"ALI",7,10,15;"AIE",5,7,10;"EE",3,4,6;"SE",4,5,7;"CE",3,4,6},MATCH(F36,{"Baixo","Médio","Alto"},0)+1,FALSE))</f>
        <v>-</v>
      </c>
      <c r="H36" s="11" t="s">
        <v>77</v>
      </c>
      <c r="I36" s="15" t="s">
        <v>73</v>
      </c>
      <c r="J36" s="11"/>
      <c r="K36" s="11"/>
      <c r="L36" s="11"/>
      <c r="M36" s="12">
        <f t="shared" si="52"/>
        <v>0</v>
      </c>
      <c r="N36" s="13" t="str">
        <f t="shared" si="53"/>
        <v>-</v>
      </c>
      <c r="O36" s="11"/>
      <c r="P36" s="11"/>
      <c r="Q36" s="11"/>
      <c r="R36" s="12" t="str">
        <f t="shared" si="54"/>
        <v>-</v>
      </c>
      <c r="S36" s="13" t="str">
        <f t="shared" si="55"/>
        <v>-</v>
      </c>
      <c r="T36" s="14">
        <f>IF(AND(H36="Modificar",SUM(J36:R36)=0),0.25,IF(AND(H36="Dados de Código",AND(D36+E36=0,OR(C36="-",C36=""))),0.1,IF(H36="Eliminar",0.4,IF(H36="Perfectiva",0.3,IF(H36="Somente teste",0.15,IF(H36="Teste + Plano",0.2,IF(H36="Criar",1,IF(OR(AND(H36&lt;&gt;"Modificar",H36&lt;&gt;"Dados de Código"),M36="-",S36="-"),"-",IF(OR(I36="ALI",I36="AIE"),IF(LEFT(C36)&lt;&gt;"A","-",IF(AND(SUM(J36:L36)=0,SUM(O36:Q36)=0),IF(C36&lt;&gt;I36,0.4,"-"),IF(H36="Modificar",HLOOKUP(S36,{0,34,68,101;0.25,0.5,0.75,1},2),HLOOKUP(S36,{0,34,68,101;0.25,0.5,0.75,1},2)*0.1))),IF(OR(AND(I36&lt;&gt;"EE",I36&lt;&gt;"SE",I36&lt;&gt;"CE"),N36="-"),"-", IF(H36="Modificar",VLOOKUP(N36,{0,0.25,0.5,0.75;34,0.5,0.75,1;68,0.75,1,1;101,1,1,1},MATCH(S36,{0,68,101})+1),VLOOKUP(N36,{0,0.25,0.5,0.75;34,0.5,0.75,1;68,0.75,1,1;101,1,1,1},MATCH(S36,{0,68,101})+1)*0.1)))))))))))</f>
        <v>1</v>
      </c>
      <c r="U36" s="14" t="str">
        <f>IF(AND(H36="Modificar",D36+E36=0),F36,IF(OR(T36="-",AND(OR(H36="Perfectiva",H36="Somente teste",H36="Teste + Plano"),F36="-",I36=""),AND(H36="Eliminar",AND(C36&lt;&gt;I36,I36&lt;&gt;"-",I36&lt;&gt;""))),"-",IF(AND(H36="Criar",OR(AND(C36&lt;&gt;"",C36&lt;&gt;"-"),F36&lt;&gt;"-",I36="")),"X",IF(AND(A36&lt;&gt;"",H36&lt;&gt;"Eliminar",F36="-",T36&lt;&gt;0,J36+K36+L36+O36+P36+Q36=0),IF(OR(I36="ALI",I36="AIE"),"Baixo","Médio"),IF(AND(OR(M36="-",R36="-"),OR(H36="Criar",F36="-",AND(H36="Eliminar",J36+K36+L36+O36+P36+Q36&lt;&gt;0))),"-",IF(OR(H36="Perfectiva",H36="Eliminar",H36="Somente teste",H36="Teste + Plano"),F36,IF(OR(I36="ALI",I36="AIE"),IF(M36=0,"-",VLOOKUP(M36,{1,"Baixo","Baixo","Médio";2,"Baixo","Médio","Alto";6,"Médio","Alto","Alto"},MATCH(R36,{1,20,51})+1)),IF(I36="EE",VLOOKUP(M36,{0,"Baixo","Baixo","Médio";2,"Baixo","Médio","Alto";3,"Médio","Alto","Alto"},MATCH(R36,{1,5,16})+1),IF(OR(I36="SE",I36="CE"),IF(AND(M36=0,I36="CE"),IF(OR(H36="Perfectiva",H36="Eliminar",H36="Somente teste",H36="Teste + Plano",H36="Modificar"),F36,"-"),VLOOKUP(M36,{0,"Baixo","Baixo","Médio";2,"Baixo","Médio","Alto";4,"Médio","Alto","Alto"},MATCH(R36,{1,6,20})+1)),)))))))))</f>
        <v>Médio</v>
      </c>
      <c r="V36" s="14">
        <f>IF(OR(T36="-",U36="-",OR(AND(OR(I36="-",I36=""),OR(H36="Modificar",H36="Dados de Código")))),"-",IF(H36="Eliminar",G36*T36,IF(AND(OR(H36="Teste + Plano",H36="Somente teste"),F36&lt;&gt;"-"),(G36*0.5)*T36,T36*VLOOKUP(I36,{"ALI",7,10,15;"AIE",5,7,10;"EE",3,4,6;"SE",4,5,7;"CE",3,4,6},MATCH(U36,{"Baixo","Médio","Alto"},0)+1,FALSE))))</f>
        <v>5</v>
      </c>
      <c r="W36" s="15" t="s">
        <v>32</v>
      </c>
      <c r="X36" s="40"/>
      <c r="Y36" s="40"/>
      <c r="Z36" s="40"/>
      <c r="AA36" s="40"/>
      <c r="AB36" s="40"/>
      <c r="AC36" s="40"/>
      <c r="AD36" s="8"/>
      <c r="AE36" s="8"/>
    </row>
    <row r="37" spans="1:31" ht="39.950000000000003" customHeight="1" x14ac:dyDescent="0.2">
      <c r="A37" s="9" t="s">
        <v>118</v>
      </c>
      <c r="B37" s="9" t="s">
        <v>88</v>
      </c>
      <c r="C37" s="10" t="s">
        <v>70</v>
      </c>
      <c r="D37" s="11"/>
      <c r="E37" s="11"/>
      <c r="F37" s="12" t="str">
        <f>IF(OR(TRIM(A37)="",AND(E37=0,D37&lt;&gt;0)),"-",IF(AND(OR(C37="EE",C37="CE",C37="SE"),D37=0,E37=0), "Médio", IF(AND(OR(C37="ALI",C37="AIE"),D37=0,E37=0),"Baixo",IF(OR(C37="ALI",C37="AIE"),IF(D37=0,"-",VLOOKUP(D37,{1,"Baixo","Baixo","Médio";2,"Baixo","Médio","Alto";6,"Médio","Alto","Alto"},MATCH(E37,{1,20,51})+1)),IF(C37="EE",VLOOKUP(D37,{0,"Baixo","Baixo","Médio";2,"Baixo","Médio","Alto";3,"Médio","Alto","Alto"},MATCH(E37,{1,5,16})+1),IF(OR(C37="SE",C37="CE"),IF(AND(D37=0,C37="CE"),"-",VLOOKUP(D37,{0,"Baixo","Baixo","Médio";2,"Baixo","Médio","Alto";4,"Médio","Alto","Alto"},MATCH(E37,{1,6,20})+1)),"-"))))))</f>
        <v>-</v>
      </c>
      <c r="G37" s="13" t="str">
        <f>IF(F37="-","-",VLOOKUP(C37,{"ALI",7,10,15;"AIE",5,7,10;"EE",3,4,6;"SE",4,5,7;"CE",3,4,6},MATCH(F37,{"Baixo","Médio","Alto"},0)+1,FALSE))</f>
        <v>-</v>
      </c>
      <c r="H37" s="11" t="s">
        <v>77</v>
      </c>
      <c r="I37" s="15" t="s">
        <v>73</v>
      </c>
      <c r="J37" s="11"/>
      <c r="K37" s="11"/>
      <c r="L37" s="11"/>
      <c r="M37" s="12">
        <f t="shared" si="52"/>
        <v>0</v>
      </c>
      <c r="N37" s="13" t="str">
        <f t="shared" si="53"/>
        <v>-</v>
      </c>
      <c r="O37" s="11"/>
      <c r="P37" s="11"/>
      <c r="Q37" s="11"/>
      <c r="R37" s="12" t="str">
        <f t="shared" si="54"/>
        <v>-</v>
      </c>
      <c r="S37" s="13" t="str">
        <f t="shared" si="55"/>
        <v>-</v>
      </c>
      <c r="T37" s="14">
        <f>IF(AND(H37="Modificar",SUM(J37:R37)=0),0.25,IF(AND(H37="Dados de Código",AND(D37+E37=0,OR(C37="-",C37=""))),0.1,IF(H37="Eliminar",0.4,IF(H37="Perfectiva",0.3,IF(H37="Somente teste",0.15,IF(H37="Teste + Plano",0.2,IF(H37="Criar",1,IF(OR(AND(H37&lt;&gt;"Modificar",H37&lt;&gt;"Dados de Código"),M37="-",S37="-"),"-",IF(OR(I37="ALI",I37="AIE"),IF(LEFT(C37)&lt;&gt;"A","-",IF(AND(SUM(J37:L37)=0,SUM(O37:Q37)=0),IF(C37&lt;&gt;I37,0.4,"-"),IF(H37="Modificar",HLOOKUP(S37,{0,34,68,101;0.25,0.5,0.75,1},2),HLOOKUP(S37,{0,34,68,101;0.25,0.5,0.75,1},2)*0.1))),IF(OR(AND(I37&lt;&gt;"EE",I37&lt;&gt;"SE",I37&lt;&gt;"CE"),N37="-"),"-", IF(H37="Modificar",VLOOKUP(N37,{0,0.25,0.5,0.75;34,0.5,0.75,1;68,0.75,1,1;101,1,1,1},MATCH(S37,{0,68,101})+1),VLOOKUP(N37,{0,0.25,0.5,0.75;34,0.5,0.75,1;68,0.75,1,1;101,1,1,1},MATCH(S37,{0,68,101})+1)*0.1)))))))))))</f>
        <v>1</v>
      </c>
      <c r="U37" s="14" t="str">
        <f>IF(AND(H37="Modificar",D37+E37=0),F37,IF(OR(T37="-",AND(OR(H37="Perfectiva",H37="Somente teste",H37="Teste + Plano"),F37="-",I37=""),AND(H37="Eliminar",AND(C37&lt;&gt;I37,I37&lt;&gt;"-",I37&lt;&gt;""))),"-",IF(AND(H37="Criar",OR(AND(C37&lt;&gt;"",C37&lt;&gt;"-"),F37&lt;&gt;"-",I37="")),"X",IF(AND(A37&lt;&gt;"",H37&lt;&gt;"Eliminar",F37="-",T37&lt;&gt;0,J37+K37+L37+O37+P37+Q37=0),IF(OR(I37="ALI",I37="AIE"),"Baixo","Médio"),IF(AND(OR(M37="-",R37="-"),OR(H37="Criar",F37="-",AND(H37="Eliminar",J37+K37+L37+O37+P37+Q37&lt;&gt;0))),"-",IF(OR(H37="Perfectiva",H37="Eliminar",H37="Somente teste",H37="Teste + Plano"),F37,IF(OR(I37="ALI",I37="AIE"),IF(M37=0,"-",VLOOKUP(M37,{1,"Baixo","Baixo","Médio";2,"Baixo","Médio","Alto";6,"Médio","Alto","Alto"},MATCH(R37,{1,20,51})+1)),IF(I37="EE",VLOOKUP(M37,{0,"Baixo","Baixo","Médio";2,"Baixo","Médio","Alto";3,"Médio","Alto","Alto"},MATCH(R37,{1,5,16})+1),IF(OR(I37="SE",I37="CE"),IF(AND(M37=0,I37="CE"),IF(OR(H37="Perfectiva",H37="Eliminar",H37="Somente teste",H37="Teste + Plano",H37="Modificar"),F37,"-"),VLOOKUP(M37,{0,"Baixo","Baixo","Médio";2,"Baixo","Médio","Alto";4,"Médio","Alto","Alto"},MATCH(R37,{1,6,20})+1)),)))))))))</f>
        <v>Médio</v>
      </c>
      <c r="V37" s="14">
        <f>IF(OR(T37="-",U37="-",OR(AND(OR(I37="-",I37=""),OR(H37="Modificar",H37="Dados de Código")))),"-",IF(H37="Eliminar",G37*T37,IF(AND(OR(H37="Teste + Plano",H37="Somente teste"),F37&lt;&gt;"-"),(G37*0.5)*T37,T37*VLOOKUP(I37,{"ALI",7,10,15;"AIE",5,7,10;"EE",3,4,6;"SE",4,5,7;"CE",3,4,6},MATCH(U37,{"Baixo","Médio","Alto"},0)+1,FALSE))))</f>
        <v>5</v>
      </c>
      <c r="W37" s="15" t="s">
        <v>32</v>
      </c>
      <c r="X37" s="40"/>
      <c r="Y37" s="40"/>
      <c r="Z37" s="40"/>
      <c r="AA37" s="40"/>
      <c r="AB37" s="40"/>
      <c r="AC37" s="40"/>
      <c r="AD37" s="8"/>
      <c r="AE37" s="8"/>
    </row>
    <row r="38" spans="1:31" ht="39.950000000000003" customHeight="1" x14ac:dyDescent="0.2">
      <c r="A38" s="9" t="s">
        <v>119</v>
      </c>
      <c r="B38" s="9" t="s">
        <v>88</v>
      </c>
      <c r="C38" s="10" t="s">
        <v>70</v>
      </c>
      <c r="D38" s="11"/>
      <c r="E38" s="11"/>
      <c r="F38" s="12" t="str">
        <f>IF(OR(TRIM(A38)="",AND(E38=0,D38&lt;&gt;0)),"-",IF(AND(OR(C38="EE",C38="CE",C38="SE"),D38=0,E38=0), "Médio", IF(AND(OR(C38="ALI",C38="AIE"),D38=0,E38=0),"Baixo",IF(OR(C38="ALI",C38="AIE"),IF(D38=0,"-",VLOOKUP(D38,{1,"Baixo","Baixo","Médio";2,"Baixo","Médio","Alto";6,"Médio","Alto","Alto"},MATCH(E38,{1,20,51})+1)),IF(C38="EE",VLOOKUP(D38,{0,"Baixo","Baixo","Médio";2,"Baixo","Médio","Alto";3,"Médio","Alto","Alto"},MATCH(E38,{1,5,16})+1),IF(OR(C38="SE",C38="CE"),IF(AND(D38=0,C38="CE"),"-",VLOOKUP(D38,{0,"Baixo","Baixo","Médio";2,"Baixo","Médio","Alto";4,"Médio","Alto","Alto"},MATCH(E38,{1,6,20})+1)),"-"))))))</f>
        <v>-</v>
      </c>
      <c r="G38" s="13" t="str">
        <f>IF(F38="-","-",VLOOKUP(C38,{"ALI",7,10,15;"AIE",5,7,10;"EE",3,4,6;"SE",4,5,7;"CE",3,4,6},MATCH(F38,{"Baixo","Médio","Alto"},0)+1,FALSE))</f>
        <v>-</v>
      </c>
      <c r="H38" s="11" t="s">
        <v>77</v>
      </c>
      <c r="I38" s="15" t="s">
        <v>73</v>
      </c>
      <c r="J38" s="11"/>
      <c r="K38" s="11"/>
      <c r="L38" s="11"/>
      <c r="M38" s="12">
        <f t="shared" si="52"/>
        <v>0</v>
      </c>
      <c r="N38" s="13" t="str">
        <f t="shared" si="53"/>
        <v>-</v>
      </c>
      <c r="O38" s="11"/>
      <c r="P38" s="11"/>
      <c r="Q38" s="11"/>
      <c r="R38" s="12" t="str">
        <f t="shared" si="54"/>
        <v>-</v>
      </c>
      <c r="S38" s="13" t="str">
        <f t="shared" si="55"/>
        <v>-</v>
      </c>
      <c r="T38" s="14">
        <f>IF(AND(H38="Modificar",SUM(J38:R38)=0),0.25,IF(AND(H38="Dados de Código",AND(D38+E38=0,OR(C38="-",C38=""))),0.1,IF(H38="Eliminar",0.4,IF(H38="Perfectiva",0.3,IF(H38="Somente teste",0.15,IF(H38="Teste + Plano",0.2,IF(H38="Criar",1,IF(OR(AND(H38&lt;&gt;"Modificar",H38&lt;&gt;"Dados de Código"),M38="-",S38="-"),"-",IF(OR(I38="ALI",I38="AIE"),IF(LEFT(C38)&lt;&gt;"A","-",IF(AND(SUM(J38:L38)=0,SUM(O38:Q38)=0),IF(C38&lt;&gt;I38,0.4,"-"),IF(H38="Modificar",HLOOKUP(S38,{0,34,68,101;0.25,0.5,0.75,1},2),HLOOKUP(S38,{0,34,68,101;0.25,0.5,0.75,1},2)*0.1))),IF(OR(AND(I38&lt;&gt;"EE",I38&lt;&gt;"SE",I38&lt;&gt;"CE"),N38="-"),"-", IF(H38="Modificar",VLOOKUP(N38,{0,0.25,0.5,0.75;34,0.5,0.75,1;68,0.75,1,1;101,1,1,1},MATCH(S38,{0,68,101})+1),VLOOKUP(N38,{0,0.25,0.5,0.75;34,0.5,0.75,1;68,0.75,1,1;101,1,1,1},MATCH(S38,{0,68,101})+1)*0.1)))))))))))</f>
        <v>1</v>
      </c>
      <c r="U38" s="14" t="str">
        <f>IF(AND(H38="Modificar",D38+E38=0),F38,IF(OR(T38="-",AND(OR(H38="Perfectiva",H38="Somente teste",H38="Teste + Plano"),F38="-",I38=""),AND(H38="Eliminar",AND(C38&lt;&gt;I38,I38&lt;&gt;"-",I38&lt;&gt;""))),"-",IF(AND(H38="Criar",OR(AND(C38&lt;&gt;"",C38&lt;&gt;"-"),F38&lt;&gt;"-",I38="")),"X",IF(AND(A38&lt;&gt;"",H38&lt;&gt;"Eliminar",F38="-",T38&lt;&gt;0,J38+K38+L38+O38+P38+Q38=0),IF(OR(I38="ALI",I38="AIE"),"Baixo","Médio"),IF(AND(OR(M38="-",R38="-"),OR(H38="Criar",F38="-",AND(H38="Eliminar",J38+K38+L38+O38+P38+Q38&lt;&gt;0))),"-",IF(OR(H38="Perfectiva",H38="Eliminar",H38="Somente teste",H38="Teste + Plano"),F38,IF(OR(I38="ALI",I38="AIE"),IF(M38=0,"-",VLOOKUP(M38,{1,"Baixo","Baixo","Médio";2,"Baixo","Médio","Alto";6,"Médio","Alto","Alto"},MATCH(R38,{1,20,51})+1)),IF(I38="EE",VLOOKUP(M38,{0,"Baixo","Baixo","Médio";2,"Baixo","Médio","Alto";3,"Médio","Alto","Alto"},MATCH(R38,{1,5,16})+1),IF(OR(I38="SE",I38="CE"),IF(AND(M38=0,I38="CE"),IF(OR(H38="Perfectiva",H38="Eliminar",H38="Somente teste",H38="Teste + Plano",H38="Modificar"),F38,"-"),VLOOKUP(M38,{0,"Baixo","Baixo","Médio";2,"Baixo","Médio","Alto";4,"Médio","Alto","Alto"},MATCH(R38,{1,6,20})+1)),)))))))))</f>
        <v>Médio</v>
      </c>
      <c r="V38" s="14">
        <f>IF(OR(T38="-",U38="-",OR(AND(OR(I38="-",I38=""),OR(H38="Modificar",H38="Dados de Código")))),"-",IF(H38="Eliminar",G38*T38,IF(AND(OR(H38="Teste + Plano",H38="Somente teste"),F38&lt;&gt;"-"),(G38*0.5)*T38,T38*VLOOKUP(I38,{"ALI",7,10,15;"AIE",5,7,10;"EE",3,4,6;"SE",4,5,7;"CE",3,4,6},MATCH(U38,{"Baixo","Médio","Alto"},0)+1,FALSE))))</f>
        <v>5</v>
      </c>
      <c r="W38" s="15" t="s">
        <v>32</v>
      </c>
      <c r="X38" s="40"/>
      <c r="Y38" s="40"/>
      <c r="Z38" s="40"/>
      <c r="AA38" s="40"/>
      <c r="AB38" s="40"/>
      <c r="AC38" s="40"/>
      <c r="AD38" s="8"/>
      <c r="AE38" s="8"/>
    </row>
    <row r="39" spans="1:31" ht="39.950000000000003" customHeight="1" x14ac:dyDescent="0.2">
      <c r="A39" s="9" t="s">
        <v>120</v>
      </c>
      <c r="B39" s="9" t="s">
        <v>88</v>
      </c>
      <c r="C39" s="10" t="s">
        <v>70</v>
      </c>
      <c r="D39" s="11"/>
      <c r="E39" s="11"/>
      <c r="F39" s="12" t="str">
        <f>IF(OR(TRIM(A39)="",AND(E39=0,D39&lt;&gt;0)),"-",IF(AND(OR(C39="EE",C39="CE",C39="SE"),D39=0,E39=0), "Médio", IF(AND(OR(C39="ALI",C39="AIE"),D39=0,E39=0),"Baixo",IF(OR(C39="ALI",C39="AIE"),IF(D39=0,"-",VLOOKUP(D39,{1,"Baixo","Baixo","Médio";2,"Baixo","Médio","Alto";6,"Médio","Alto","Alto"},MATCH(E39,{1,20,51})+1)),IF(C39="EE",VLOOKUP(D39,{0,"Baixo","Baixo","Médio";2,"Baixo","Médio","Alto";3,"Médio","Alto","Alto"},MATCH(E39,{1,5,16})+1),IF(OR(C39="SE",C39="CE"),IF(AND(D39=0,C39="CE"),"-",VLOOKUP(D39,{0,"Baixo","Baixo","Médio";2,"Baixo","Médio","Alto";4,"Médio","Alto","Alto"},MATCH(E39,{1,6,20})+1)),"-"))))))</f>
        <v>-</v>
      </c>
      <c r="G39" s="13" t="str">
        <f>IF(F39="-","-",VLOOKUP(C39,{"ALI",7,10,15;"AIE",5,7,10;"EE",3,4,6;"SE",4,5,7;"CE",3,4,6},MATCH(F39,{"Baixo","Médio","Alto"},0)+1,FALSE))</f>
        <v>-</v>
      </c>
      <c r="H39" s="11" t="s">
        <v>77</v>
      </c>
      <c r="I39" s="15" t="s">
        <v>73</v>
      </c>
      <c r="J39" s="11"/>
      <c r="K39" s="11"/>
      <c r="L39" s="11"/>
      <c r="M39" s="12">
        <f t="shared" si="52"/>
        <v>0</v>
      </c>
      <c r="N39" s="13" t="str">
        <f t="shared" si="53"/>
        <v>-</v>
      </c>
      <c r="O39" s="11"/>
      <c r="P39" s="11"/>
      <c r="Q39" s="11"/>
      <c r="R39" s="12" t="str">
        <f t="shared" si="54"/>
        <v>-</v>
      </c>
      <c r="S39" s="13" t="str">
        <f t="shared" si="55"/>
        <v>-</v>
      </c>
      <c r="T39" s="14">
        <f>IF(AND(H39="Modificar",SUM(J39:R39)=0),0.25,IF(AND(H39="Dados de Código",AND(D39+E39=0,OR(C39="-",C39=""))),0.1,IF(H39="Eliminar",0.4,IF(H39="Perfectiva",0.3,IF(H39="Somente teste",0.15,IF(H39="Teste + Plano",0.2,IF(H39="Criar",1,IF(OR(AND(H39&lt;&gt;"Modificar",H39&lt;&gt;"Dados de Código"),M39="-",S39="-"),"-",IF(OR(I39="ALI",I39="AIE"),IF(LEFT(C39)&lt;&gt;"A","-",IF(AND(SUM(J39:L39)=0,SUM(O39:Q39)=0),IF(C39&lt;&gt;I39,0.4,"-"),IF(H39="Modificar",HLOOKUP(S39,{0,34,68,101;0.25,0.5,0.75,1},2),HLOOKUP(S39,{0,34,68,101;0.25,0.5,0.75,1},2)*0.1))),IF(OR(AND(I39&lt;&gt;"EE",I39&lt;&gt;"SE",I39&lt;&gt;"CE"),N39="-"),"-", IF(H39="Modificar",VLOOKUP(N39,{0,0.25,0.5,0.75;34,0.5,0.75,1;68,0.75,1,1;101,1,1,1},MATCH(S39,{0,68,101})+1),VLOOKUP(N39,{0,0.25,0.5,0.75;34,0.5,0.75,1;68,0.75,1,1;101,1,1,1},MATCH(S39,{0,68,101})+1)*0.1)))))))))))</f>
        <v>1</v>
      </c>
      <c r="U39" s="14" t="str">
        <f>IF(AND(H39="Modificar",D39+E39=0),F39,IF(OR(T39="-",AND(OR(H39="Perfectiva",H39="Somente teste",H39="Teste + Plano"),F39="-",I39=""),AND(H39="Eliminar",AND(C39&lt;&gt;I39,I39&lt;&gt;"-",I39&lt;&gt;""))),"-",IF(AND(H39="Criar",OR(AND(C39&lt;&gt;"",C39&lt;&gt;"-"),F39&lt;&gt;"-",I39="")),"X",IF(AND(A39&lt;&gt;"",H39&lt;&gt;"Eliminar",F39="-",T39&lt;&gt;0,J39+K39+L39+O39+P39+Q39=0),IF(OR(I39="ALI",I39="AIE"),"Baixo","Médio"),IF(AND(OR(M39="-",R39="-"),OR(H39="Criar",F39="-",AND(H39="Eliminar",J39+K39+L39+O39+P39+Q39&lt;&gt;0))),"-",IF(OR(H39="Perfectiva",H39="Eliminar",H39="Somente teste",H39="Teste + Plano"),F39,IF(OR(I39="ALI",I39="AIE"),IF(M39=0,"-",VLOOKUP(M39,{1,"Baixo","Baixo","Médio";2,"Baixo","Médio","Alto";6,"Médio","Alto","Alto"},MATCH(R39,{1,20,51})+1)),IF(I39="EE",VLOOKUP(M39,{0,"Baixo","Baixo","Médio";2,"Baixo","Médio","Alto";3,"Médio","Alto","Alto"},MATCH(R39,{1,5,16})+1),IF(OR(I39="SE",I39="CE"),IF(AND(M39=0,I39="CE"),IF(OR(H39="Perfectiva",H39="Eliminar",H39="Somente teste",H39="Teste + Plano",H39="Modificar"),F39,"-"),VLOOKUP(M39,{0,"Baixo","Baixo","Médio";2,"Baixo","Médio","Alto";4,"Médio","Alto","Alto"},MATCH(R39,{1,6,20})+1)),)))))))))</f>
        <v>Médio</v>
      </c>
      <c r="V39" s="14">
        <f>IF(OR(T39="-",U39="-",OR(AND(OR(I39="-",I39=""),OR(H39="Modificar",H39="Dados de Código")))),"-",IF(H39="Eliminar",G39*T39,IF(AND(OR(H39="Teste + Plano",H39="Somente teste"),F39&lt;&gt;"-"),(G39*0.5)*T39,T39*VLOOKUP(I39,{"ALI",7,10,15;"AIE",5,7,10;"EE",3,4,6;"SE",4,5,7;"CE",3,4,6},MATCH(U39,{"Baixo","Médio","Alto"},0)+1,FALSE))))</f>
        <v>5</v>
      </c>
      <c r="W39" s="15" t="s">
        <v>32</v>
      </c>
      <c r="X39" s="40"/>
      <c r="Y39" s="40"/>
      <c r="Z39" s="40"/>
      <c r="AA39" s="40"/>
      <c r="AB39" s="40"/>
      <c r="AC39" s="40"/>
      <c r="AD39" s="8"/>
      <c r="AE39" s="8"/>
    </row>
    <row r="40" spans="1:31" ht="39.950000000000003" customHeight="1" x14ac:dyDescent="0.2">
      <c r="A40" s="9" t="s">
        <v>121</v>
      </c>
      <c r="B40" s="9" t="s">
        <v>88</v>
      </c>
      <c r="C40" s="10" t="s">
        <v>70</v>
      </c>
      <c r="D40" s="11"/>
      <c r="E40" s="11"/>
      <c r="F40" s="12" t="str">
        <f>IF(OR(TRIM(A40)="",AND(E40=0,D40&lt;&gt;0)),"-",IF(AND(OR(C40="EE",C40="CE",C40="SE"),D40=0,E40=0), "Médio", IF(AND(OR(C40="ALI",C40="AIE"),D40=0,E40=0),"Baixo",IF(OR(C40="ALI",C40="AIE"),IF(D40=0,"-",VLOOKUP(D40,{1,"Baixo","Baixo","Médio";2,"Baixo","Médio","Alto";6,"Médio","Alto","Alto"},MATCH(E40,{1,20,51})+1)),IF(C40="EE",VLOOKUP(D40,{0,"Baixo","Baixo","Médio";2,"Baixo","Médio","Alto";3,"Médio","Alto","Alto"},MATCH(E40,{1,5,16})+1),IF(OR(C40="SE",C40="CE"),IF(AND(D40=0,C40="CE"),"-",VLOOKUP(D40,{0,"Baixo","Baixo","Médio";2,"Baixo","Médio","Alto";4,"Médio","Alto","Alto"},MATCH(E40,{1,6,20})+1)),"-"))))))</f>
        <v>-</v>
      </c>
      <c r="G40" s="13" t="str">
        <f>IF(F40="-","-",VLOOKUP(C40,{"ALI",7,10,15;"AIE",5,7,10;"EE",3,4,6;"SE",4,5,7;"CE",3,4,6},MATCH(F40,{"Baixo","Médio","Alto"},0)+1,FALSE))</f>
        <v>-</v>
      </c>
      <c r="H40" s="11" t="s">
        <v>77</v>
      </c>
      <c r="I40" s="15" t="s">
        <v>73</v>
      </c>
      <c r="J40" s="11"/>
      <c r="K40" s="11"/>
      <c r="L40" s="11"/>
      <c r="M40" s="12">
        <f t="shared" si="52"/>
        <v>0</v>
      </c>
      <c r="N40" s="13" t="str">
        <f t="shared" si="53"/>
        <v>-</v>
      </c>
      <c r="O40" s="11"/>
      <c r="P40" s="11"/>
      <c r="Q40" s="11"/>
      <c r="R40" s="12" t="str">
        <f t="shared" si="54"/>
        <v>-</v>
      </c>
      <c r="S40" s="13" t="str">
        <f t="shared" si="55"/>
        <v>-</v>
      </c>
      <c r="T40" s="14">
        <f>IF(AND(H40="Modificar",SUM(J40:R40)=0),0.25,IF(AND(H40="Dados de Código",AND(D40+E40=0,OR(C40="-",C40=""))),0.1,IF(H40="Eliminar",0.4,IF(H40="Perfectiva",0.3,IF(H40="Somente teste",0.15,IF(H40="Teste + Plano",0.2,IF(H40="Criar",1,IF(OR(AND(H40&lt;&gt;"Modificar",H40&lt;&gt;"Dados de Código"),M40="-",S40="-"),"-",IF(OR(I40="ALI",I40="AIE"),IF(LEFT(C40)&lt;&gt;"A","-",IF(AND(SUM(J40:L40)=0,SUM(O40:Q40)=0),IF(C40&lt;&gt;I40,0.4,"-"),IF(H40="Modificar",HLOOKUP(S40,{0,34,68,101;0.25,0.5,0.75,1},2),HLOOKUP(S40,{0,34,68,101;0.25,0.5,0.75,1},2)*0.1))),IF(OR(AND(I40&lt;&gt;"EE",I40&lt;&gt;"SE",I40&lt;&gt;"CE"),N40="-"),"-", IF(H40="Modificar",VLOOKUP(N40,{0,0.25,0.5,0.75;34,0.5,0.75,1;68,0.75,1,1;101,1,1,1},MATCH(S40,{0,68,101})+1),VLOOKUP(N40,{0,0.25,0.5,0.75;34,0.5,0.75,1;68,0.75,1,1;101,1,1,1},MATCH(S40,{0,68,101})+1)*0.1)))))))))))</f>
        <v>1</v>
      </c>
      <c r="U40" s="14" t="str">
        <f>IF(AND(H40="Modificar",D40+E40=0),F40,IF(OR(T40="-",AND(OR(H40="Perfectiva",H40="Somente teste",H40="Teste + Plano"),F40="-",I40=""),AND(H40="Eliminar",AND(C40&lt;&gt;I40,I40&lt;&gt;"-",I40&lt;&gt;""))),"-",IF(AND(H40="Criar",OR(AND(C40&lt;&gt;"",C40&lt;&gt;"-"),F40&lt;&gt;"-",I40="")),"X",IF(AND(A40&lt;&gt;"",H40&lt;&gt;"Eliminar",F40="-",T40&lt;&gt;0,J40+K40+L40+O40+P40+Q40=0),IF(OR(I40="ALI",I40="AIE"),"Baixo","Médio"),IF(AND(OR(M40="-",R40="-"),OR(H40="Criar",F40="-",AND(H40="Eliminar",J40+K40+L40+O40+P40+Q40&lt;&gt;0))),"-",IF(OR(H40="Perfectiva",H40="Eliminar",H40="Somente teste",H40="Teste + Plano"),F40,IF(OR(I40="ALI",I40="AIE"),IF(M40=0,"-",VLOOKUP(M40,{1,"Baixo","Baixo","Médio";2,"Baixo","Médio","Alto";6,"Médio","Alto","Alto"},MATCH(R40,{1,20,51})+1)),IF(I40="EE",VLOOKUP(M40,{0,"Baixo","Baixo","Médio";2,"Baixo","Médio","Alto";3,"Médio","Alto","Alto"},MATCH(R40,{1,5,16})+1),IF(OR(I40="SE",I40="CE"),IF(AND(M40=0,I40="CE"),IF(OR(H40="Perfectiva",H40="Eliminar",H40="Somente teste",H40="Teste + Plano",H40="Modificar"),F40,"-"),VLOOKUP(M40,{0,"Baixo","Baixo","Médio";2,"Baixo","Médio","Alto";4,"Médio","Alto","Alto"},MATCH(R40,{1,6,20})+1)),)))))))))</f>
        <v>Médio</v>
      </c>
      <c r="V40" s="14">
        <f>IF(OR(T40="-",U40="-",OR(AND(OR(I40="-",I40=""),OR(H40="Modificar",H40="Dados de Código")))),"-",IF(H40="Eliminar",G40*T40,IF(AND(OR(H40="Teste + Plano",H40="Somente teste"),F40&lt;&gt;"-"),(G40*0.5)*T40,T40*VLOOKUP(I40,{"ALI",7,10,15;"AIE",5,7,10;"EE",3,4,6;"SE",4,5,7;"CE",3,4,6},MATCH(U40,{"Baixo","Médio","Alto"},0)+1,FALSE))))</f>
        <v>5</v>
      </c>
      <c r="W40" s="15" t="s">
        <v>32</v>
      </c>
      <c r="X40" s="40"/>
      <c r="Y40" s="40"/>
      <c r="Z40" s="40"/>
      <c r="AA40" s="40"/>
      <c r="AB40" s="40"/>
      <c r="AC40" s="40"/>
      <c r="AD40" s="8"/>
      <c r="AE40" s="8"/>
    </row>
    <row r="41" spans="1:31" ht="39.950000000000003" customHeight="1" x14ac:dyDescent="0.2">
      <c r="A41" s="9" t="s">
        <v>122</v>
      </c>
      <c r="B41" s="9" t="s">
        <v>88</v>
      </c>
      <c r="C41" s="10" t="s">
        <v>70</v>
      </c>
      <c r="D41" s="11"/>
      <c r="E41" s="11"/>
      <c r="F41" s="12" t="str">
        <f>IF(OR(TRIM(A41)="",AND(E41=0,D41&lt;&gt;0)),"-",IF(AND(OR(C41="EE",C41="CE",C41="SE"),D41=0,E41=0), "Médio", IF(AND(OR(C41="ALI",C41="AIE"),D41=0,E41=0),"Baixo",IF(OR(C41="ALI",C41="AIE"),IF(D41=0,"-",VLOOKUP(D41,{1,"Baixo","Baixo","Médio";2,"Baixo","Médio","Alto";6,"Médio","Alto","Alto"},MATCH(E41,{1,20,51})+1)),IF(C41="EE",VLOOKUP(D41,{0,"Baixo","Baixo","Médio";2,"Baixo","Médio","Alto";3,"Médio","Alto","Alto"},MATCH(E41,{1,5,16})+1),IF(OR(C41="SE",C41="CE"),IF(AND(D41=0,C41="CE"),"-",VLOOKUP(D41,{0,"Baixo","Baixo","Médio";2,"Baixo","Médio","Alto";4,"Médio","Alto","Alto"},MATCH(E41,{1,6,20})+1)),"-"))))))</f>
        <v>-</v>
      </c>
      <c r="G41" s="13" t="str">
        <f>IF(F41="-","-",VLOOKUP(C41,{"ALI",7,10,15;"AIE",5,7,10;"EE",3,4,6;"SE",4,5,7;"CE",3,4,6},MATCH(F41,{"Baixo","Médio","Alto"},0)+1,FALSE))</f>
        <v>-</v>
      </c>
      <c r="H41" s="11" t="s">
        <v>77</v>
      </c>
      <c r="I41" s="15" t="s">
        <v>73</v>
      </c>
      <c r="J41" s="11"/>
      <c r="K41" s="11"/>
      <c r="L41" s="11"/>
      <c r="M41" s="12">
        <f t="shared" si="52"/>
        <v>0</v>
      </c>
      <c r="N41" s="13" t="str">
        <f t="shared" si="53"/>
        <v>-</v>
      </c>
      <c r="O41" s="11"/>
      <c r="P41" s="11"/>
      <c r="Q41" s="11"/>
      <c r="R41" s="12" t="str">
        <f t="shared" si="54"/>
        <v>-</v>
      </c>
      <c r="S41" s="13" t="str">
        <f t="shared" si="55"/>
        <v>-</v>
      </c>
      <c r="T41" s="14">
        <f>IF(AND(H41="Modificar",SUM(J41:R41)=0),0.25,IF(AND(H41="Dados de Código",AND(D41+E41=0,OR(C41="-",C41=""))),0.1,IF(H41="Eliminar",0.4,IF(H41="Perfectiva",0.3,IF(H41="Somente teste",0.15,IF(H41="Teste + Plano",0.2,IF(H41="Criar",1,IF(OR(AND(H41&lt;&gt;"Modificar",H41&lt;&gt;"Dados de Código"),M41="-",S41="-"),"-",IF(OR(I41="ALI",I41="AIE"),IF(LEFT(C41)&lt;&gt;"A","-",IF(AND(SUM(J41:L41)=0,SUM(O41:Q41)=0),IF(C41&lt;&gt;I41,0.4,"-"),IF(H41="Modificar",HLOOKUP(S41,{0,34,68,101;0.25,0.5,0.75,1},2),HLOOKUP(S41,{0,34,68,101;0.25,0.5,0.75,1},2)*0.1))),IF(OR(AND(I41&lt;&gt;"EE",I41&lt;&gt;"SE",I41&lt;&gt;"CE"),N41="-"),"-", IF(H41="Modificar",VLOOKUP(N41,{0,0.25,0.5,0.75;34,0.5,0.75,1;68,0.75,1,1;101,1,1,1},MATCH(S41,{0,68,101})+1),VLOOKUP(N41,{0,0.25,0.5,0.75;34,0.5,0.75,1;68,0.75,1,1;101,1,1,1},MATCH(S41,{0,68,101})+1)*0.1)))))))))))</f>
        <v>1</v>
      </c>
      <c r="U41" s="14" t="str">
        <f>IF(AND(H41="Modificar",D41+E41=0),F41,IF(OR(T41="-",AND(OR(H41="Perfectiva",H41="Somente teste",H41="Teste + Plano"),F41="-",I41=""),AND(H41="Eliminar",AND(C41&lt;&gt;I41,I41&lt;&gt;"-",I41&lt;&gt;""))),"-",IF(AND(H41="Criar",OR(AND(C41&lt;&gt;"",C41&lt;&gt;"-"),F41&lt;&gt;"-",I41="")),"X",IF(AND(A41&lt;&gt;"",H41&lt;&gt;"Eliminar",F41="-",T41&lt;&gt;0,J41+K41+L41+O41+P41+Q41=0),IF(OR(I41="ALI",I41="AIE"),"Baixo","Médio"),IF(AND(OR(M41="-",R41="-"),OR(H41="Criar",F41="-",AND(H41="Eliminar",J41+K41+L41+O41+P41+Q41&lt;&gt;0))),"-",IF(OR(H41="Perfectiva",H41="Eliminar",H41="Somente teste",H41="Teste + Plano"),F41,IF(OR(I41="ALI",I41="AIE"),IF(M41=0,"-",VLOOKUP(M41,{1,"Baixo","Baixo","Médio";2,"Baixo","Médio","Alto";6,"Médio","Alto","Alto"},MATCH(R41,{1,20,51})+1)),IF(I41="EE",VLOOKUP(M41,{0,"Baixo","Baixo","Médio";2,"Baixo","Médio","Alto";3,"Médio","Alto","Alto"},MATCH(R41,{1,5,16})+1),IF(OR(I41="SE",I41="CE"),IF(AND(M41=0,I41="CE"),IF(OR(H41="Perfectiva",H41="Eliminar",H41="Somente teste",H41="Teste + Plano",H41="Modificar"),F41,"-"),VLOOKUP(M41,{0,"Baixo","Baixo","Médio";2,"Baixo","Médio","Alto";4,"Médio","Alto","Alto"},MATCH(R41,{1,6,20})+1)),)))))))))</f>
        <v>Médio</v>
      </c>
      <c r="V41" s="14">
        <f>IF(OR(T41="-",U41="-",OR(AND(OR(I41="-",I41=""),OR(H41="Modificar",H41="Dados de Código")))),"-",IF(H41="Eliminar",G41*T41,IF(AND(OR(H41="Teste + Plano",H41="Somente teste"),F41&lt;&gt;"-"),(G41*0.5)*T41,T41*VLOOKUP(I41,{"ALI",7,10,15;"AIE",5,7,10;"EE",3,4,6;"SE",4,5,7;"CE",3,4,6},MATCH(U41,{"Baixo","Médio","Alto"},0)+1,FALSE))))</f>
        <v>5</v>
      </c>
      <c r="W41" s="15" t="s">
        <v>32</v>
      </c>
      <c r="X41" s="40"/>
      <c r="Y41" s="40"/>
      <c r="Z41" s="40"/>
      <c r="AA41" s="40"/>
      <c r="AB41" s="40"/>
      <c r="AC41" s="40"/>
      <c r="AD41" s="8"/>
      <c r="AE41" s="8"/>
    </row>
    <row r="42" spans="1:31" ht="39.950000000000003" customHeight="1" x14ac:dyDescent="0.2">
      <c r="A42" s="9" t="s">
        <v>123</v>
      </c>
      <c r="B42" s="9" t="s">
        <v>88</v>
      </c>
      <c r="C42" s="10" t="s">
        <v>70</v>
      </c>
      <c r="D42" s="11"/>
      <c r="E42" s="11"/>
      <c r="F42" s="12" t="str">
        <f>IF(OR(TRIM(A42)="",AND(E42=0,D42&lt;&gt;0)),"-",IF(AND(OR(C42="EE",C42="CE",C42="SE"),D42=0,E42=0), "Médio", IF(AND(OR(C42="ALI",C42="AIE"),D42=0,E42=0),"Baixo",IF(OR(C42="ALI",C42="AIE"),IF(D42=0,"-",VLOOKUP(D42,{1,"Baixo","Baixo","Médio";2,"Baixo","Médio","Alto";6,"Médio","Alto","Alto"},MATCH(E42,{1,20,51})+1)),IF(C42="EE",VLOOKUP(D42,{0,"Baixo","Baixo","Médio";2,"Baixo","Médio","Alto";3,"Médio","Alto","Alto"},MATCH(E42,{1,5,16})+1),IF(OR(C42="SE",C42="CE"),IF(AND(D42=0,C42="CE"),"-",VLOOKUP(D42,{0,"Baixo","Baixo","Médio";2,"Baixo","Médio","Alto";4,"Médio","Alto","Alto"},MATCH(E42,{1,6,20})+1)),"-"))))))</f>
        <v>-</v>
      </c>
      <c r="G42" s="13" t="str">
        <f>IF(F42="-","-",VLOOKUP(C42,{"ALI",7,10,15;"AIE",5,7,10;"EE",3,4,6;"SE",4,5,7;"CE",3,4,6},MATCH(F42,{"Baixo","Médio","Alto"},0)+1,FALSE))</f>
        <v>-</v>
      </c>
      <c r="H42" s="11" t="s">
        <v>77</v>
      </c>
      <c r="I42" s="15" t="s">
        <v>73</v>
      </c>
      <c r="J42" s="11"/>
      <c r="K42" s="11"/>
      <c r="L42" s="11"/>
      <c r="M42" s="12">
        <f t="shared" si="52"/>
        <v>0</v>
      </c>
      <c r="N42" s="13" t="str">
        <f t="shared" si="53"/>
        <v>-</v>
      </c>
      <c r="O42" s="11"/>
      <c r="P42" s="11"/>
      <c r="Q42" s="11"/>
      <c r="R42" s="12" t="str">
        <f t="shared" si="54"/>
        <v>-</v>
      </c>
      <c r="S42" s="13" t="str">
        <f t="shared" si="55"/>
        <v>-</v>
      </c>
      <c r="T42" s="14">
        <f>IF(AND(H42="Modificar",SUM(J42:R42)=0),0.25,IF(AND(H42="Dados de Código",AND(D42+E42=0,OR(C42="-",C42=""))),0.1,IF(H42="Eliminar",0.4,IF(H42="Perfectiva",0.3,IF(H42="Somente teste",0.15,IF(H42="Teste + Plano",0.2,IF(H42="Criar",1,IF(OR(AND(H42&lt;&gt;"Modificar",H42&lt;&gt;"Dados de Código"),M42="-",S42="-"),"-",IF(OR(I42="ALI",I42="AIE"),IF(LEFT(C42)&lt;&gt;"A","-",IF(AND(SUM(J42:L42)=0,SUM(O42:Q42)=0),IF(C42&lt;&gt;I42,0.4,"-"),IF(H42="Modificar",HLOOKUP(S42,{0,34,68,101;0.25,0.5,0.75,1},2),HLOOKUP(S42,{0,34,68,101;0.25,0.5,0.75,1},2)*0.1))),IF(OR(AND(I42&lt;&gt;"EE",I42&lt;&gt;"SE",I42&lt;&gt;"CE"),N42="-"),"-", IF(H42="Modificar",VLOOKUP(N42,{0,0.25,0.5,0.75;34,0.5,0.75,1;68,0.75,1,1;101,1,1,1},MATCH(S42,{0,68,101})+1),VLOOKUP(N42,{0,0.25,0.5,0.75;34,0.5,0.75,1;68,0.75,1,1;101,1,1,1},MATCH(S42,{0,68,101})+1)*0.1)))))))))))</f>
        <v>1</v>
      </c>
      <c r="U42" s="14" t="str">
        <f>IF(AND(H42="Modificar",D42+E42=0),F42,IF(OR(T42="-",AND(OR(H42="Perfectiva",H42="Somente teste",H42="Teste + Plano"),F42="-",I42=""),AND(H42="Eliminar",AND(C42&lt;&gt;I42,I42&lt;&gt;"-",I42&lt;&gt;""))),"-",IF(AND(H42="Criar",OR(AND(C42&lt;&gt;"",C42&lt;&gt;"-"),F42&lt;&gt;"-",I42="")),"X",IF(AND(A42&lt;&gt;"",H42&lt;&gt;"Eliminar",F42="-",T42&lt;&gt;0,J42+K42+L42+O42+P42+Q42=0),IF(OR(I42="ALI",I42="AIE"),"Baixo","Médio"),IF(AND(OR(M42="-",R42="-"),OR(H42="Criar",F42="-",AND(H42="Eliminar",J42+K42+L42+O42+P42+Q42&lt;&gt;0))),"-",IF(OR(H42="Perfectiva",H42="Eliminar",H42="Somente teste",H42="Teste + Plano"),F42,IF(OR(I42="ALI",I42="AIE"),IF(M42=0,"-",VLOOKUP(M42,{1,"Baixo","Baixo","Médio";2,"Baixo","Médio","Alto";6,"Médio","Alto","Alto"},MATCH(R42,{1,20,51})+1)),IF(I42="EE",VLOOKUP(M42,{0,"Baixo","Baixo","Médio";2,"Baixo","Médio","Alto";3,"Médio","Alto","Alto"},MATCH(R42,{1,5,16})+1),IF(OR(I42="SE",I42="CE"),IF(AND(M42=0,I42="CE"),IF(OR(H42="Perfectiva",H42="Eliminar",H42="Somente teste",H42="Teste + Plano",H42="Modificar"),F42,"-"),VLOOKUP(M42,{0,"Baixo","Baixo","Médio";2,"Baixo","Médio","Alto";4,"Médio","Alto","Alto"},MATCH(R42,{1,6,20})+1)),)))))))))</f>
        <v>Médio</v>
      </c>
      <c r="V42" s="14">
        <f>IF(OR(T42="-",U42="-",OR(AND(OR(I42="-",I42=""),OR(H42="Modificar",H42="Dados de Código")))),"-",IF(H42="Eliminar",G42*T42,IF(AND(OR(H42="Teste + Plano",H42="Somente teste"),F42&lt;&gt;"-"),(G42*0.5)*T42,T42*VLOOKUP(I42,{"ALI",7,10,15;"AIE",5,7,10;"EE",3,4,6;"SE",4,5,7;"CE",3,4,6},MATCH(U42,{"Baixo","Médio","Alto"},0)+1,FALSE))))</f>
        <v>5</v>
      </c>
      <c r="W42" s="15" t="s">
        <v>32</v>
      </c>
      <c r="X42" s="40"/>
      <c r="Y42" s="40"/>
      <c r="Z42" s="40"/>
      <c r="AA42" s="40"/>
      <c r="AB42" s="40"/>
      <c r="AC42" s="40"/>
      <c r="AD42" s="8"/>
      <c r="AE42" s="8"/>
    </row>
    <row r="43" spans="1:31" ht="39.950000000000003" customHeight="1" x14ac:dyDescent="0.2">
      <c r="A43" s="9" t="s">
        <v>124</v>
      </c>
      <c r="B43" s="9" t="s">
        <v>88</v>
      </c>
      <c r="C43" s="10" t="s">
        <v>70</v>
      </c>
      <c r="D43" s="11"/>
      <c r="E43" s="11"/>
      <c r="F43" s="12" t="str">
        <f>IF(OR(TRIM(A43)="",AND(E43=0,D43&lt;&gt;0)),"-",IF(AND(OR(C43="EE",C43="CE",C43="SE"),D43=0,E43=0), "Médio", IF(AND(OR(C43="ALI",C43="AIE"),D43=0,E43=0),"Baixo",IF(OR(C43="ALI",C43="AIE"),IF(D43=0,"-",VLOOKUP(D43,{1,"Baixo","Baixo","Médio";2,"Baixo","Médio","Alto";6,"Médio","Alto","Alto"},MATCH(E43,{1,20,51})+1)),IF(C43="EE",VLOOKUP(D43,{0,"Baixo","Baixo","Médio";2,"Baixo","Médio","Alto";3,"Médio","Alto","Alto"},MATCH(E43,{1,5,16})+1),IF(OR(C43="SE",C43="CE"),IF(AND(D43=0,C43="CE"),"-",VLOOKUP(D43,{0,"Baixo","Baixo","Médio";2,"Baixo","Médio","Alto";4,"Médio","Alto","Alto"},MATCH(E43,{1,6,20})+1)),"-"))))))</f>
        <v>-</v>
      </c>
      <c r="G43" s="13" t="str">
        <f>IF(F43="-","-",VLOOKUP(C43,{"ALI",7,10,15;"AIE",5,7,10;"EE",3,4,6;"SE",4,5,7;"CE",3,4,6},MATCH(F43,{"Baixo","Médio","Alto"},0)+1,FALSE))</f>
        <v>-</v>
      </c>
      <c r="H43" s="11" t="s">
        <v>77</v>
      </c>
      <c r="I43" s="15" t="s">
        <v>73</v>
      </c>
      <c r="J43" s="11"/>
      <c r="K43" s="11"/>
      <c r="L43" s="11"/>
      <c r="M43" s="12">
        <f t="shared" si="52"/>
        <v>0</v>
      </c>
      <c r="N43" s="13" t="str">
        <f t="shared" si="53"/>
        <v>-</v>
      </c>
      <c r="O43" s="11"/>
      <c r="P43" s="11"/>
      <c r="Q43" s="11"/>
      <c r="R43" s="12" t="str">
        <f t="shared" si="54"/>
        <v>-</v>
      </c>
      <c r="S43" s="13" t="str">
        <f t="shared" si="55"/>
        <v>-</v>
      </c>
      <c r="T43" s="14">
        <f>IF(AND(H43="Modificar",SUM(J43:R43)=0),0.25,IF(AND(H43="Dados de Código",AND(D43+E43=0,OR(C43="-",C43=""))),0.1,IF(H43="Eliminar",0.4,IF(H43="Perfectiva",0.3,IF(H43="Somente teste",0.15,IF(H43="Teste + Plano",0.2,IF(H43="Criar",1,IF(OR(AND(H43&lt;&gt;"Modificar",H43&lt;&gt;"Dados de Código"),M43="-",S43="-"),"-",IF(OR(I43="ALI",I43="AIE"),IF(LEFT(C43)&lt;&gt;"A","-",IF(AND(SUM(J43:L43)=0,SUM(O43:Q43)=0),IF(C43&lt;&gt;I43,0.4,"-"),IF(H43="Modificar",HLOOKUP(S43,{0,34,68,101;0.25,0.5,0.75,1},2),HLOOKUP(S43,{0,34,68,101;0.25,0.5,0.75,1},2)*0.1))),IF(OR(AND(I43&lt;&gt;"EE",I43&lt;&gt;"SE",I43&lt;&gt;"CE"),N43="-"),"-", IF(H43="Modificar",VLOOKUP(N43,{0,0.25,0.5,0.75;34,0.5,0.75,1;68,0.75,1,1;101,1,1,1},MATCH(S43,{0,68,101})+1),VLOOKUP(N43,{0,0.25,0.5,0.75;34,0.5,0.75,1;68,0.75,1,1;101,1,1,1},MATCH(S43,{0,68,101})+1)*0.1)))))))))))</f>
        <v>1</v>
      </c>
      <c r="U43" s="14" t="str">
        <f>IF(AND(H43="Modificar",D43+E43=0),F43,IF(OR(T43="-",AND(OR(H43="Perfectiva",H43="Somente teste",H43="Teste + Plano"),F43="-",I43=""),AND(H43="Eliminar",AND(C43&lt;&gt;I43,I43&lt;&gt;"-",I43&lt;&gt;""))),"-",IF(AND(H43="Criar",OR(AND(C43&lt;&gt;"",C43&lt;&gt;"-"),F43&lt;&gt;"-",I43="")),"X",IF(AND(A43&lt;&gt;"",H43&lt;&gt;"Eliminar",F43="-",T43&lt;&gt;0,J43+K43+L43+O43+P43+Q43=0),IF(OR(I43="ALI",I43="AIE"),"Baixo","Médio"),IF(AND(OR(M43="-",R43="-"),OR(H43="Criar",F43="-",AND(H43="Eliminar",J43+K43+L43+O43+P43+Q43&lt;&gt;0))),"-",IF(OR(H43="Perfectiva",H43="Eliminar",H43="Somente teste",H43="Teste + Plano"),F43,IF(OR(I43="ALI",I43="AIE"),IF(M43=0,"-",VLOOKUP(M43,{1,"Baixo","Baixo","Médio";2,"Baixo","Médio","Alto";6,"Médio","Alto","Alto"},MATCH(R43,{1,20,51})+1)),IF(I43="EE",VLOOKUP(M43,{0,"Baixo","Baixo","Médio";2,"Baixo","Médio","Alto";3,"Médio","Alto","Alto"},MATCH(R43,{1,5,16})+1),IF(OR(I43="SE",I43="CE"),IF(AND(M43=0,I43="CE"),IF(OR(H43="Perfectiva",H43="Eliminar",H43="Somente teste",H43="Teste + Plano",H43="Modificar"),F43,"-"),VLOOKUP(M43,{0,"Baixo","Baixo","Médio";2,"Baixo","Médio","Alto";4,"Médio","Alto","Alto"},MATCH(R43,{1,6,20})+1)),)))))))))</f>
        <v>Médio</v>
      </c>
      <c r="V43" s="14">
        <f>IF(OR(T43="-",U43="-",OR(AND(OR(I43="-",I43=""),OR(H43="Modificar",H43="Dados de Código")))),"-",IF(H43="Eliminar",G43*T43,IF(AND(OR(H43="Teste + Plano",H43="Somente teste"),F43&lt;&gt;"-"),(G43*0.5)*T43,T43*VLOOKUP(I43,{"ALI",7,10,15;"AIE",5,7,10;"EE",3,4,6;"SE",4,5,7;"CE",3,4,6},MATCH(U43,{"Baixo","Médio","Alto"},0)+1,FALSE))))</f>
        <v>5</v>
      </c>
      <c r="W43" s="15" t="s">
        <v>32</v>
      </c>
      <c r="X43" s="40"/>
      <c r="Y43" s="40"/>
      <c r="Z43" s="40"/>
      <c r="AA43" s="40"/>
      <c r="AB43" s="40"/>
      <c r="AC43" s="40"/>
      <c r="AD43" s="8"/>
      <c r="AE43" s="8"/>
    </row>
    <row r="44" spans="1:31" ht="39.950000000000003" customHeight="1" x14ac:dyDescent="0.2">
      <c r="A44" s="9" t="s">
        <v>125</v>
      </c>
      <c r="B44" s="9" t="s">
        <v>88</v>
      </c>
      <c r="C44" s="10" t="s">
        <v>70</v>
      </c>
      <c r="D44" s="11"/>
      <c r="E44" s="11"/>
      <c r="F44" s="12" t="str">
        <f>IF(OR(TRIM(A44)="",AND(E44=0,D44&lt;&gt;0)),"-",IF(AND(OR(C44="EE",C44="CE",C44="SE"),D44=0,E44=0), "Médio", IF(AND(OR(C44="ALI",C44="AIE"),D44=0,E44=0),"Baixo",IF(OR(C44="ALI",C44="AIE"),IF(D44=0,"-",VLOOKUP(D44,{1,"Baixo","Baixo","Médio";2,"Baixo","Médio","Alto";6,"Médio","Alto","Alto"},MATCH(E44,{1,20,51})+1)),IF(C44="EE",VLOOKUP(D44,{0,"Baixo","Baixo","Médio";2,"Baixo","Médio","Alto";3,"Médio","Alto","Alto"},MATCH(E44,{1,5,16})+1),IF(OR(C44="SE",C44="CE"),IF(AND(D44=0,C44="CE"),"-",VLOOKUP(D44,{0,"Baixo","Baixo","Médio";2,"Baixo","Médio","Alto";4,"Médio","Alto","Alto"},MATCH(E44,{1,6,20})+1)),"-"))))))</f>
        <v>-</v>
      </c>
      <c r="G44" s="13" t="str">
        <f>IF(F44="-","-",VLOOKUP(C44,{"ALI",7,10,15;"AIE",5,7,10;"EE",3,4,6;"SE",4,5,7;"CE",3,4,6},MATCH(F44,{"Baixo","Médio","Alto"},0)+1,FALSE))</f>
        <v>-</v>
      </c>
      <c r="H44" s="11" t="s">
        <v>77</v>
      </c>
      <c r="I44" s="15" t="s">
        <v>73</v>
      </c>
      <c r="J44" s="11"/>
      <c r="K44" s="11"/>
      <c r="L44" s="11"/>
      <c r="M44" s="12">
        <f t="shared" si="52"/>
        <v>0</v>
      </c>
      <c r="N44" s="13" t="str">
        <f t="shared" si="53"/>
        <v>-</v>
      </c>
      <c r="O44" s="11"/>
      <c r="P44" s="11"/>
      <c r="Q44" s="11"/>
      <c r="R44" s="12" t="str">
        <f t="shared" si="54"/>
        <v>-</v>
      </c>
      <c r="S44" s="13" t="str">
        <f t="shared" si="55"/>
        <v>-</v>
      </c>
      <c r="T44" s="14">
        <f>IF(AND(H44="Modificar",SUM(J44:R44)=0),0.25,IF(AND(H44="Dados de Código",AND(D44+E44=0,OR(C44="-",C44=""))),0.1,IF(H44="Eliminar",0.4,IF(H44="Perfectiva",0.3,IF(H44="Somente teste",0.15,IF(H44="Teste + Plano",0.2,IF(H44="Criar",1,IF(OR(AND(H44&lt;&gt;"Modificar",H44&lt;&gt;"Dados de Código"),M44="-",S44="-"),"-",IF(OR(I44="ALI",I44="AIE"),IF(LEFT(C44)&lt;&gt;"A","-",IF(AND(SUM(J44:L44)=0,SUM(O44:Q44)=0),IF(C44&lt;&gt;I44,0.4,"-"),IF(H44="Modificar",HLOOKUP(S44,{0,34,68,101;0.25,0.5,0.75,1},2),HLOOKUP(S44,{0,34,68,101;0.25,0.5,0.75,1},2)*0.1))),IF(OR(AND(I44&lt;&gt;"EE",I44&lt;&gt;"SE",I44&lt;&gt;"CE"),N44="-"),"-", IF(H44="Modificar",VLOOKUP(N44,{0,0.25,0.5,0.75;34,0.5,0.75,1;68,0.75,1,1;101,1,1,1},MATCH(S44,{0,68,101})+1),VLOOKUP(N44,{0,0.25,0.5,0.75;34,0.5,0.75,1;68,0.75,1,1;101,1,1,1},MATCH(S44,{0,68,101})+1)*0.1)))))))))))</f>
        <v>1</v>
      </c>
      <c r="U44" s="14" t="str">
        <f>IF(AND(H44="Modificar",D44+E44=0),F44,IF(OR(T44="-",AND(OR(H44="Perfectiva",H44="Somente teste",H44="Teste + Plano"),F44="-",I44=""),AND(H44="Eliminar",AND(C44&lt;&gt;I44,I44&lt;&gt;"-",I44&lt;&gt;""))),"-",IF(AND(H44="Criar",OR(AND(C44&lt;&gt;"",C44&lt;&gt;"-"),F44&lt;&gt;"-",I44="")),"X",IF(AND(A44&lt;&gt;"",H44&lt;&gt;"Eliminar",F44="-",T44&lt;&gt;0,J44+K44+L44+O44+P44+Q44=0),IF(OR(I44="ALI",I44="AIE"),"Baixo","Médio"),IF(AND(OR(M44="-",R44="-"),OR(H44="Criar",F44="-",AND(H44="Eliminar",J44+K44+L44+O44+P44+Q44&lt;&gt;0))),"-",IF(OR(H44="Perfectiva",H44="Eliminar",H44="Somente teste",H44="Teste + Plano"),F44,IF(OR(I44="ALI",I44="AIE"),IF(M44=0,"-",VLOOKUP(M44,{1,"Baixo","Baixo","Médio";2,"Baixo","Médio","Alto";6,"Médio","Alto","Alto"},MATCH(R44,{1,20,51})+1)),IF(I44="EE",VLOOKUP(M44,{0,"Baixo","Baixo","Médio";2,"Baixo","Médio","Alto";3,"Médio","Alto","Alto"},MATCH(R44,{1,5,16})+1),IF(OR(I44="SE",I44="CE"),IF(AND(M44=0,I44="CE"),IF(OR(H44="Perfectiva",H44="Eliminar",H44="Somente teste",H44="Teste + Plano",H44="Modificar"),F44,"-"),VLOOKUP(M44,{0,"Baixo","Baixo","Médio";2,"Baixo","Médio","Alto";4,"Médio","Alto","Alto"},MATCH(R44,{1,6,20})+1)),)))))))))</f>
        <v>Médio</v>
      </c>
      <c r="V44" s="14">
        <f>IF(OR(T44="-",U44="-",OR(AND(OR(I44="-",I44=""),OR(H44="Modificar",H44="Dados de Código")))),"-",IF(H44="Eliminar",G44*T44,IF(AND(OR(H44="Teste + Plano",H44="Somente teste"),F44&lt;&gt;"-"),(G44*0.5)*T44,T44*VLOOKUP(I44,{"ALI",7,10,15;"AIE",5,7,10;"EE",3,4,6;"SE",4,5,7;"CE",3,4,6},MATCH(U44,{"Baixo","Médio","Alto"},0)+1,FALSE))))</f>
        <v>5</v>
      </c>
      <c r="W44" s="15" t="s">
        <v>32</v>
      </c>
      <c r="X44" s="40"/>
      <c r="Y44" s="40"/>
      <c r="Z44" s="40"/>
      <c r="AA44" s="40"/>
      <c r="AB44" s="40"/>
      <c r="AC44" s="40"/>
      <c r="AD44" s="8"/>
      <c r="AE44" s="8"/>
    </row>
    <row r="45" spans="1:31" ht="39.950000000000003" customHeight="1" x14ac:dyDescent="0.2">
      <c r="A45" s="9" t="s">
        <v>126</v>
      </c>
      <c r="B45" s="9" t="s">
        <v>88</v>
      </c>
      <c r="C45" s="10" t="s">
        <v>70</v>
      </c>
      <c r="D45" s="11"/>
      <c r="E45" s="11"/>
      <c r="F45" s="12" t="str">
        <f>IF(OR(TRIM(A45)="",AND(E45=0,D45&lt;&gt;0)),"-",IF(AND(OR(C45="EE",C45="CE",C45="SE"),D45=0,E45=0), "Médio", IF(AND(OR(C45="ALI",C45="AIE"),D45=0,E45=0),"Baixo",IF(OR(C45="ALI",C45="AIE"),IF(D45=0,"-",VLOOKUP(D45,{1,"Baixo","Baixo","Médio";2,"Baixo","Médio","Alto";6,"Médio","Alto","Alto"},MATCH(E45,{1,20,51})+1)),IF(C45="EE",VLOOKUP(D45,{0,"Baixo","Baixo","Médio";2,"Baixo","Médio","Alto";3,"Médio","Alto","Alto"},MATCH(E45,{1,5,16})+1),IF(OR(C45="SE",C45="CE"),IF(AND(D45=0,C45="CE"),"-",VLOOKUP(D45,{0,"Baixo","Baixo","Médio";2,"Baixo","Médio","Alto";4,"Médio","Alto","Alto"},MATCH(E45,{1,6,20})+1)),"-"))))))</f>
        <v>-</v>
      </c>
      <c r="G45" s="13" t="str">
        <f>IF(F45="-","-",VLOOKUP(C45,{"ALI",7,10,15;"AIE",5,7,10;"EE",3,4,6;"SE",4,5,7;"CE",3,4,6},MATCH(F45,{"Baixo","Médio","Alto"},0)+1,FALSE))</f>
        <v>-</v>
      </c>
      <c r="H45" s="11" t="s">
        <v>77</v>
      </c>
      <c r="I45" s="15" t="s">
        <v>73</v>
      </c>
      <c r="J45" s="11"/>
      <c r="K45" s="11"/>
      <c r="L45" s="11"/>
      <c r="M45" s="12">
        <f t="shared" si="52"/>
        <v>0</v>
      </c>
      <c r="N45" s="13" t="str">
        <f t="shared" si="53"/>
        <v>-</v>
      </c>
      <c r="O45" s="11"/>
      <c r="P45" s="11"/>
      <c r="Q45" s="11"/>
      <c r="R45" s="12" t="str">
        <f t="shared" si="54"/>
        <v>-</v>
      </c>
      <c r="S45" s="13" t="str">
        <f t="shared" si="55"/>
        <v>-</v>
      </c>
      <c r="T45" s="14">
        <f>IF(AND(H45="Modificar",SUM(J45:R45)=0),0.25,IF(AND(H45="Dados de Código",AND(D45+E45=0,OR(C45="-",C45=""))),0.1,IF(H45="Eliminar",0.4,IF(H45="Perfectiva",0.3,IF(H45="Somente teste",0.15,IF(H45="Teste + Plano",0.2,IF(H45="Criar",1,IF(OR(AND(H45&lt;&gt;"Modificar",H45&lt;&gt;"Dados de Código"),M45="-",S45="-"),"-",IF(OR(I45="ALI",I45="AIE"),IF(LEFT(C45)&lt;&gt;"A","-",IF(AND(SUM(J45:L45)=0,SUM(O45:Q45)=0),IF(C45&lt;&gt;I45,0.4,"-"),IF(H45="Modificar",HLOOKUP(S45,{0,34,68,101;0.25,0.5,0.75,1},2),HLOOKUP(S45,{0,34,68,101;0.25,0.5,0.75,1},2)*0.1))),IF(OR(AND(I45&lt;&gt;"EE",I45&lt;&gt;"SE",I45&lt;&gt;"CE"),N45="-"),"-", IF(H45="Modificar",VLOOKUP(N45,{0,0.25,0.5,0.75;34,0.5,0.75,1;68,0.75,1,1;101,1,1,1},MATCH(S45,{0,68,101})+1),VLOOKUP(N45,{0,0.25,0.5,0.75;34,0.5,0.75,1;68,0.75,1,1;101,1,1,1},MATCH(S45,{0,68,101})+1)*0.1)))))))))))</f>
        <v>1</v>
      </c>
      <c r="U45" s="14" t="str">
        <f>IF(AND(H45="Modificar",D45+E45=0),F45,IF(OR(T45="-",AND(OR(H45="Perfectiva",H45="Somente teste",H45="Teste + Plano"),F45="-",I45=""),AND(H45="Eliminar",AND(C45&lt;&gt;I45,I45&lt;&gt;"-",I45&lt;&gt;""))),"-",IF(AND(H45="Criar",OR(AND(C45&lt;&gt;"",C45&lt;&gt;"-"),F45&lt;&gt;"-",I45="")),"X",IF(AND(A45&lt;&gt;"",H45&lt;&gt;"Eliminar",F45="-",T45&lt;&gt;0,J45+K45+L45+O45+P45+Q45=0),IF(OR(I45="ALI",I45="AIE"),"Baixo","Médio"),IF(AND(OR(M45="-",R45="-"),OR(H45="Criar",F45="-",AND(H45="Eliminar",J45+K45+L45+O45+P45+Q45&lt;&gt;0))),"-",IF(OR(H45="Perfectiva",H45="Eliminar",H45="Somente teste",H45="Teste + Plano"),F45,IF(OR(I45="ALI",I45="AIE"),IF(M45=0,"-",VLOOKUP(M45,{1,"Baixo","Baixo","Médio";2,"Baixo","Médio","Alto";6,"Médio","Alto","Alto"},MATCH(R45,{1,20,51})+1)),IF(I45="EE",VLOOKUP(M45,{0,"Baixo","Baixo","Médio";2,"Baixo","Médio","Alto";3,"Médio","Alto","Alto"},MATCH(R45,{1,5,16})+1),IF(OR(I45="SE",I45="CE"),IF(AND(M45=0,I45="CE"),IF(OR(H45="Perfectiva",H45="Eliminar",H45="Somente teste",H45="Teste + Plano",H45="Modificar"),F45,"-"),VLOOKUP(M45,{0,"Baixo","Baixo","Médio";2,"Baixo","Médio","Alto";4,"Médio","Alto","Alto"},MATCH(R45,{1,6,20})+1)),)))))))))</f>
        <v>Médio</v>
      </c>
      <c r="V45" s="14">
        <f>IF(OR(T45="-",U45="-",OR(AND(OR(I45="-",I45=""),OR(H45="Modificar",H45="Dados de Código")))),"-",IF(H45="Eliminar",G45*T45,IF(AND(OR(H45="Teste + Plano",H45="Somente teste"),F45&lt;&gt;"-"),(G45*0.5)*T45,T45*VLOOKUP(I45,{"ALI",7,10,15;"AIE",5,7,10;"EE",3,4,6;"SE",4,5,7;"CE",3,4,6},MATCH(U45,{"Baixo","Médio","Alto"},0)+1,FALSE))))</f>
        <v>5</v>
      </c>
      <c r="W45" s="15" t="s">
        <v>32</v>
      </c>
      <c r="X45" s="40"/>
      <c r="Y45" s="40"/>
      <c r="Z45" s="40"/>
      <c r="AA45" s="40"/>
      <c r="AB45" s="40"/>
      <c r="AC45" s="40"/>
      <c r="AD45" s="8"/>
      <c r="AE45" s="8"/>
    </row>
    <row r="46" spans="1:31" ht="39.950000000000003" customHeight="1" x14ac:dyDescent="0.2">
      <c r="A46" s="9" t="s">
        <v>127</v>
      </c>
      <c r="B46" s="9" t="s">
        <v>88</v>
      </c>
      <c r="C46" s="10" t="s">
        <v>70</v>
      </c>
      <c r="D46" s="11"/>
      <c r="E46" s="11"/>
      <c r="F46" s="12" t="str">
        <f>IF(OR(TRIM(A46)="",AND(E46=0,D46&lt;&gt;0)),"-",IF(AND(OR(C46="EE",C46="CE",C46="SE"),D46=0,E46=0), "Médio", IF(AND(OR(C46="ALI",C46="AIE"),D46=0,E46=0),"Baixo",IF(OR(C46="ALI",C46="AIE"),IF(D46=0,"-",VLOOKUP(D46,{1,"Baixo","Baixo","Médio";2,"Baixo","Médio","Alto";6,"Médio","Alto","Alto"},MATCH(E46,{1,20,51})+1)),IF(C46="EE",VLOOKUP(D46,{0,"Baixo","Baixo","Médio";2,"Baixo","Médio","Alto";3,"Médio","Alto","Alto"},MATCH(E46,{1,5,16})+1),IF(OR(C46="SE",C46="CE"),IF(AND(D46=0,C46="CE"),"-",VLOOKUP(D46,{0,"Baixo","Baixo","Médio";2,"Baixo","Médio","Alto";4,"Médio","Alto","Alto"},MATCH(E46,{1,6,20})+1)),"-"))))))</f>
        <v>-</v>
      </c>
      <c r="G46" s="13" t="str">
        <f>IF(F46="-","-",VLOOKUP(C46,{"ALI",7,10,15;"AIE",5,7,10;"EE",3,4,6;"SE",4,5,7;"CE",3,4,6},MATCH(F46,{"Baixo","Médio","Alto"},0)+1,FALSE))</f>
        <v>-</v>
      </c>
      <c r="H46" s="11" t="s">
        <v>77</v>
      </c>
      <c r="I46" s="15" t="s">
        <v>73</v>
      </c>
      <c r="J46" s="11"/>
      <c r="K46" s="11"/>
      <c r="L46" s="11"/>
      <c r="M46" s="12">
        <f t="shared" si="52"/>
        <v>0</v>
      </c>
      <c r="N46" s="13" t="str">
        <f t="shared" si="53"/>
        <v>-</v>
      </c>
      <c r="O46" s="11"/>
      <c r="P46" s="11"/>
      <c r="Q46" s="11"/>
      <c r="R46" s="12" t="str">
        <f t="shared" si="54"/>
        <v>-</v>
      </c>
      <c r="S46" s="13" t="str">
        <f t="shared" si="55"/>
        <v>-</v>
      </c>
      <c r="T46" s="14">
        <f>IF(AND(H46="Modificar",SUM(J46:R46)=0),0.25,IF(AND(H46="Dados de Código",AND(D46+E46=0,OR(C46="-",C46=""))),0.1,IF(H46="Eliminar",0.4,IF(H46="Perfectiva",0.3,IF(H46="Somente teste",0.15,IF(H46="Teste + Plano",0.2,IF(H46="Criar",1,IF(OR(AND(H46&lt;&gt;"Modificar",H46&lt;&gt;"Dados de Código"),M46="-",S46="-"),"-",IF(OR(I46="ALI",I46="AIE"),IF(LEFT(C46)&lt;&gt;"A","-",IF(AND(SUM(J46:L46)=0,SUM(O46:Q46)=0),IF(C46&lt;&gt;I46,0.4,"-"),IF(H46="Modificar",HLOOKUP(S46,{0,34,68,101;0.25,0.5,0.75,1},2),HLOOKUP(S46,{0,34,68,101;0.25,0.5,0.75,1},2)*0.1))),IF(OR(AND(I46&lt;&gt;"EE",I46&lt;&gt;"SE",I46&lt;&gt;"CE"),N46="-"),"-", IF(H46="Modificar",VLOOKUP(N46,{0,0.25,0.5,0.75;34,0.5,0.75,1;68,0.75,1,1;101,1,1,1},MATCH(S46,{0,68,101})+1),VLOOKUP(N46,{0,0.25,0.5,0.75;34,0.5,0.75,1;68,0.75,1,1;101,1,1,1},MATCH(S46,{0,68,101})+1)*0.1)))))))))))</f>
        <v>1</v>
      </c>
      <c r="U46" s="14" t="str">
        <f>IF(AND(H46="Modificar",D46+E46=0),F46,IF(OR(T46="-",AND(OR(H46="Perfectiva",H46="Somente teste",H46="Teste + Plano"),F46="-",I46=""),AND(H46="Eliminar",AND(C46&lt;&gt;I46,I46&lt;&gt;"-",I46&lt;&gt;""))),"-",IF(AND(H46="Criar",OR(AND(C46&lt;&gt;"",C46&lt;&gt;"-"),F46&lt;&gt;"-",I46="")),"X",IF(AND(A46&lt;&gt;"",H46&lt;&gt;"Eliminar",F46="-",T46&lt;&gt;0,J46+K46+L46+O46+P46+Q46=0),IF(OR(I46="ALI",I46="AIE"),"Baixo","Médio"),IF(AND(OR(M46="-",R46="-"),OR(H46="Criar",F46="-",AND(H46="Eliminar",J46+K46+L46+O46+P46+Q46&lt;&gt;0))),"-",IF(OR(H46="Perfectiva",H46="Eliminar",H46="Somente teste",H46="Teste + Plano"),F46,IF(OR(I46="ALI",I46="AIE"),IF(M46=0,"-",VLOOKUP(M46,{1,"Baixo","Baixo","Médio";2,"Baixo","Médio","Alto";6,"Médio","Alto","Alto"},MATCH(R46,{1,20,51})+1)),IF(I46="EE",VLOOKUP(M46,{0,"Baixo","Baixo","Médio";2,"Baixo","Médio","Alto";3,"Médio","Alto","Alto"},MATCH(R46,{1,5,16})+1),IF(OR(I46="SE",I46="CE"),IF(AND(M46=0,I46="CE"),IF(OR(H46="Perfectiva",H46="Eliminar",H46="Somente teste",H46="Teste + Plano",H46="Modificar"),F46,"-"),VLOOKUP(M46,{0,"Baixo","Baixo","Médio";2,"Baixo","Médio","Alto";4,"Médio","Alto","Alto"},MATCH(R46,{1,6,20})+1)),)))))))))</f>
        <v>Médio</v>
      </c>
      <c r="V46" s="14">
        <f>IF(OR(T46="-",U46="-",OR(AND(OR(I46="-",I46=""),OR(H46="Modificar",H46="Dados de Código")))),"-",IF(H46="Eliminar",G46*T46,IF(AND(OR(H46="Teste + Plano",H46="Somente teste"),F46&lt;&gt;"-"),(G46*0.5)*T46,T46*VLOOKUP(I46,{"ALI",7,10,15;"AIE",5,7,10;"EE",3,4,6;"SE",4,5,7;"CE",3,4,6},MATCH(U46,{"Baixo","Médio","Alto"},0)+1,FALSE))))</f>
        <v>5</v>
      </c>
      <c r="W46" s="15" t="s">
        <v>32</v>
      </c>
      <c r="X46" s="40"/>
      <c r="Y46" s="40"/>
      <c r="Z46" s="40"/>
      <c r="AA46" s="40"/>
      <c r="AB46" s="40"/>
      <c r="AC46" s="40"/>
      <c r="AD46" s="8"/>
      <c r="AE46" s="8"/>
    </row>
    <row r="47" spans="1:31" ht="39.950000000000003" customHeight="1" x14ac:dyDescent="0.2">
      <c r="A47" s="9" t="s">
        <v>128</v>
      </c>
      <c r="B47" s="9" t="s">
        <v>88</v>
      </c>
      <c r="C47" s="10" t="s">
        <v>70</v>
      </c>
      <c r="D47" s="11"/>
      <c r="E47" s="11"/>
      <c r="F47" s="12" t="str">
        <f>IF(OR(TRIM(A47)="",AND(E47=0,D47&lt;&gt;0)),"-",IF(AND(OR(C47="EE",C47="CE",C47="SE"),D47=0,E47=0), "Médio", IF(AND(OR(C47="ALI",C47="AIE"),D47=0,E47=0),"Baixo",IF(OR(C47="ALI",C47="AIE"),IF(D47=0,"-",VLOOKUP(D47,{1,"Baixo","Baixo","Médio";2,"Baixo","Médio","Alto";6,"Médio","Alto","Alto"},MATCH(E47,{1,20,51})+1)),IF(C47="EE",VLOOKUP(D47,{0,"Baixo","Baixo","Médio";2,"Baixo","Médio","Alto";3,"Médio","Alto","Alto"},MATCH(E47,{1,5,16})+1),IF(OR(C47="SE",C47="CE"),IF(AND(D47=0,C47="CE"),"-",VLOOKUP(D47,{0,"Baixo","Baixo","Médio";2,"Baixo","Médio","Alto";4,"Médio","Alto","Alto"},MATCH(E47,{1,6,20})+1)),"-"))))))</f>
        <v>-</v>
      </c>
      <c r="G47" s="13" t="str">
        <f>IF(F47="-","-",VLOOKUP(C47,{"ALI",7,10,15;"AIE",5,7,10;"EE",3,4,6;"SE",4,5,7;"CE",3,4,6},MATCH(F47,{"Baixo","Médio","Alto"},0)+1,FALSE))</f>
        <v>-</v>
      </c>
      <c r="H47" s="11" t="s">
        <v>77</v>
      </c>
      <c r="I47" s="15" t="s">
        <v>73</v>
      </c>
      <c r="J47" s="11"/>
      <c r="K47" s="11"/>
      <c r="L47" s="11"/>
      <c r="M47" s="12">
        <f t="shared" si="52"/>
        <v>0</v>
      </c>
      <c r="N47" s="13" t="str">
        <f t="shared" si="53"/>
        <v>-</v>
      </c>
      <c r="O47" s="11"/>
      <c r="P47" s="11"/>
      <c r="Q47" s="11"/>
      <c r="R47" s="12" t="str">
        <f t="shared" si="54"/>
        <v>-</v>
      </c>
      <c r="S47" s="13" t="str">
        <f t="shared" si="55"/>
        <v>-</v>
      </c>
      <c r="T47" s="14">
        <f>IF(AND(H47="Modificar",SUM(J47:R47)=0),0.25,IF(AND(H47="Dados de Código",AND(D47+E47=0,OR(C47="-",C47=""))),0.1,IF(H47="Eliminar",0.4,IF(H47="Perfectiva",0.3,IF(H47="Somente teste",0.15,IF(H47="Teste + Plano",0.2,IF(H47="Criar",1,IF(OR(AND(H47&lt;&gt;"Modificar",H47&lt;&gt;"Dados de Código"),M47="-",S47="-"),"-",IF(OR(I47="ALI",I47="AIE"),IF(LEFT(C47)&lt;&gt;"A","-",IF(AND(SUM(J47:L47)=0,SUM(O47:Q47)=0),IF(C47&lt;&gt;I47,0.4,"-"),IF(H47="Modificar",HLOOKUP(S47,{0,34,68,101;0.25,0.5,0.75,1},2),HLOOKUP(S47,{0,34,68,101;0.25,0.5,0.75,1},2)*0.1))),IF(OR(AND(I47&lt;&gt;"EE",I47&lt;&gt;"SE",I47&lt;&gt;"CE"),N47="-"),"-", IF(H47="Modificar",VLOOKUP(N47,{0,0.25,0.5,0.75;34,0.5,0.75,1;68,0.75,1,1;101,1,1,1},MATCH(S47,{0,68,101})+1),VLOOKUP(N47,{0,0.25,0.5,0.75;34,0.5,0.75,1;68,0.75,1,1;101,1,1,1},MATCH(S47,{0,68,101})+1)*0.1)))))))))))</f>
        <v>1</v>
      </c>
      <c r="U47" s="14" t="str">
        <f>IF(AND(H47="Modificar",D47+E47=0),F47,IF(OR(T47="-",AND(OR(H47="Perfectiva",H47="Somente teste",H47="Teste + Plano"),F47="-",I47=""),AND(H47="Eliminar",AND(C47&lt;&gt;I47,I47&lt;&gt;"-",I47&lt;&gt;""))),"-",IF(AND(H47="Criar",OR(AND(C47&lt;&gt;"",C47&lt;&gt;"-"),F47&lt;&gt;"-",I47="")),"X",IF(AND(A47&lt;&gt;"",H47&lt;&gt;"Eliminar",F47="-",T47&lt;&gt;0,J47+K47+L47+O47+P47+Q47=0),IF(OR(I47="ALI",I47="AIE"),"Baixo","Médio"),IF(AND(OR(M47="-",R47="-"),OR(H47="Criar",F47="-",AND(H47="Eliminar",J47+K47+L47+O47+P47+Q47&lt;&gt;0))),"-",IF(OR(H47="Perfectiva",H47="Eliminar",H47="Somente teste",H47="Teste + Plano"),F47,IF(OR(I47="ALI",I47="AIE"),IF(M47=0,"-",VLOOKUP(M47,{1,"Baixo","Baixo","Médio";2,"Baixo","Médio","Alto";6,"Médio","Alto","Alto"},MATCH(R47,{1,20,51})+1)),IF(I47="EE",VLOOKUP(M47,{0,"Baixo","Baixo","Médio";2,"Baixo","Médio","Alto";3,"Médio","Alto","Alto"},MATCH(R47,{1,5,16})+1),IF(OR(I47="SE",I47="CE"),IF(AND(M47=0,I47="CE"),IF(OR(H47="Perfectiva",H47="Eliminar",H47="Somente teste",H47="Teste + Plano",H47="Modificar"),F47,"-"),VLOOKUP(M47,{0,"Baixo","Baixo","Médio";2,"Baixo","Médio","Alto";4,"Médio","Alto","Alto"},MATCH(R47,{1,6,20})+1)),)))))))))</f>
        <v>Médio</v>
      </c>
      <c r="V47" s="14">
        <f>IF(OR(T47="-",U47="-",OR(AND(OR(I47="-",I47=""),OR(H47="Modificar",H47="Dados de Código")))),"-",IF(H47="Eliminar",G47*T47,IF(AND(OR(H47="Teste + Plano",H47="Somente teste"),F47&lt;&gt;"-"),(G47*0.5)*T47,T47*VLOOKUP(I47,{"ALI",7,10,15;"AIE",5,7,10;"EE",3,4,6;"SE",4,5,7;"CE",3,4,6},MATCH(U47,{"Baixo","Médio","Alto"},0)+1,FALSE))))</f>
        <v>5</v>
      </c>
      <c r="W47" s="15" t="s">
        <v>32</v>
      </c>
      <c r="X47" s="40"/>
      <c r="Y47" s="40"/>
      <c r="Z47" s="40"/>
      <c r="AA47" s="40"/>
      <c r="AB47" s="40"/>
      <c r="AC47" s="40"/>
      <c r="AD47" s="8"/>
      <c r="AE47" s="8"/>
    </row>
    <row r="48" spans="1:31" ht="39.950000000000003" customHeight="1" x14ac:dyDescent="0.2">
      <c r="A48" s="9" t="s">
        <v>129</v>
      </c>
      <c r="B48" s="9" t="s">
        <v>88</v>
      </c>
      <c r="C48" s="10" t="s">
        <v>70</v>
      </c>
      <c r="D48" s="11"/>
      <c r="E48" s="11"/>
      <c r="F48" s="12" t="str">
        <f>IF(OR(TRIM(A48)="",AND(E48=0,D48&lt;&gt;0)),"-",IF(AND(OR(C48="EE",C48="CE",C48="SE"),D48=0,E48=0), "Médio", IF(AND(OR(C48="ALI",C48="AIE"),D48=0,E48=0),"Baixo",IF(OR(C48="ALI",C48="AIE"),IF(D48=0,"-",VLOOKUP(D48,{1,"Baixo","Baixo","Médio";2,"Baixo","Médio","Alto";6,"Médio","Alto","Alto"},MATCH(E48,{1,20,51})+1)),IF(C48="EE",VLOOKUP(D48,{0,"Baixo","Baixo","Médio";2,"Baixo","Médio","Alto";3,"Médio","Alto","Alto"},MATCH(E48,{1,5,16})+1),IF(OR(C48="SE",C48="CE"),IF(AND(D48=0,C48="CE"),"-",VLOOKUP(D48,{0,"Baixo","Baixo","Médio";2,"Baixo","Médio","Alto";4,"Médio","Alto","Alto"},MATCH(E48,{1,6,20})+1)),"-"))))))</f>
        <v>-</v>
      </c>
      <c r="G48" s="13" t="str">
        <f>IF(F48="-","-",VLOOKUP(C48,{"ALI",7,10,15;"AIE",5,7,10;"EE",3,4,6;"SE",4,5,7;"CE",3,4,6},MATCH(F48,{"Baixo","Médio","Alto"},0)+1,FALSE))</f>
        <v>-</v>
      </c>
      <c r="H48" s="11" t="s">
        <v>77</v>
      </c>
      <c r="I48" s="15" t="s">
        <v>73</v>
      </c>
      <c r="J48" s="11"/>
      <c r="K48" s="11"/>
      <c r="L48" s="11"/>
      <c r="M48" s="12">
        <f t="shared" si="52"/>
        <v>0</v>
      </c>
      <c r="N48" s="13" t="str">
        <f t="shared" si="53"/>
        <v>-</v>
      </c>
      <c r="O48" s="11"/>
      <c r="P48" s="11"/>
      <c r="Q48" s="11"/>
      <c r="R48" s="12" t="str">
        <f t="shared" si="54"/>
        <v>-</v>
      </c>
      <c r="S48" s="13" t="str">
        <f t="shared" si="55"/>
        <v>-</v>
      </c>
      <c r="T48" s="14">
        <f>IF(AND(H48="Modificar",SUM(J48:R48)=0),0.25,IF(AND(H48="Dados de Código",AND(D48+E48=0,OR(C48="-",C48=""))),0.1,IF(H48="Eliminar",0.4,IF(H48="Perfectiva",0.3,IF(H48="Somente teste",0.15,IF(H48="Teste + Plano",0.2,IF(H48="Criar",1,IF(OR(AND(H48&lt;&gt;"Modificar",H48&lt;&gt;"Dados de Código"),M48="-",S48="-"),"-",IF(OR(I48="ALI",I48="AIE"),IF(LEFT(C48)&lt;&gt;"A","-",IF(AND(SUM(J48:L48)=0,SUM(O48:Q48)=0),IF(C48&lt;&gt;I48,0.4,"-"),IF(H48="Modificar",HLOOKUP(S48,{0,34,68,101;0.25,0.5,0.75,1},2),HLOOKUP(S48,{0,34,68,101;0.25,0.5,0.75,1},2)*0.1))),IF(OR(AND(I48&lt;&gt;"EE",I48&lt;&gt;"SE",I48&lt;&gt;"CE"),N48="-"),"-", IF(H48="Modificar",VLOOKUP(N48,{0,0.25,0.5,0.75;34,0.5,0.75,1;68,0.75,1,1;101,1,1,1},MATCH(S48,{0,68,101})+1),VLOOKUP(N48,{0,0.25,0.5,0.75;34,0.5,0.75,1;68,0.75,1,1;101,1,1,1},MATCH(S48,{0,68,101})+1)*0.1)))))))))))</f>
        <v>1</v>
      </c>
      <c r="U48" s="14" t="str">
        <f>IF(AND(H48="Modificar",D48+E48=0),F48,IF(OR(T48="-",AND(OR(H48="Perfectiva",H48="Somente teste",H48="Teste + Plano"),F48="-",I48=""),AND(H48="Eliminar",AND(C48&lt;&gt;I48,I48&lt;&gt;"-",I48&lt;&gt;""))),"-",IF(AND(H48="Criar",OR(AND(C48&lt;&gt;"",C48&lt;&gt;"-"),F48&lt;&gt;"-",I48="")),"X",IF(AND(A48&lt;&gt;"",H48&lt;&gt;"Eliminar",F48="-",T48&lt;&gt;0,J48+K48+L48+O48+P48+Q48=0),IF(OR(I48="ALI",I48="AIE"),"Baixo","Médio"),IF(AND(OR(M48="-",R48="-"),OR(H48="Criar",F48="-",AND(H48="Eliminar",J48+K48+L48+O48+P48+Q48&lt;&gt;0))),"-",IF(OR(H48="Perfectiva",H48="Eliminar",H48="Somente teste",H48="Teste + Plano"),F48,IF(OR(I48="ALI",I48="AIE"),IF(M48=0,"-",VLOOKUP(M48,{1,"Baixo","Baixo","Médio";2,"Baixo","Médio","Alto";6,"Médio","Alto","Alto"},MATCH(R48,{1,20,51})+1)),IF(I48="EE",VLOOKUP(M48,{0,"Baixo","Baixo","Médio";2,"Baixo","Médio","Alto";3,"Médio","Alto","Alto"},MATCH(R48,{1,5,16})+1),IF(OR(I48="SE",I48="CE"),IF(AND(M48=0,I48="CE"),IF(OR(H48="Perfectiva",H48="Eliminar",H48="Somente teste",H48="Teste + Plano",H48="Modificar"),F48,"-"),VLOOKUP(M48,{0,"Baixo","Baixo","Médio";2,"Baixo","Médio","Alto";4,"Médio","Alto","Alto"},MATCH(R48,{1,6,20})+1)),)))))))))</f>
        <v>Médio</v>
      </c>
      <c r="V48" s="14">
        <f>IF(OR(T48="-",U48="-",OR(AND(OR(I48="-",I48=""),OR(H48="Modificar",H48="Dados de Código")))),"-",IF(H48="Eliminar",G48*T48,IF(AND(OR(H48="Teste + Plano",H48="Somente teste"),F48&lt;&gt;"-"),(G48*0.5)*T48,T48*VLOOKUP(I48,{"ALI",7,10,15;"AIE",5,7,10;"EE",3,4,6;"SE",4,5,7;"CE",3,4,6},MATCH(U48,{"Baixo","Médio","Alto"},0)+1,FALSE))))</f>
        <v>5</v>
      </c>
      <c r="W48" s="15" t="s">
        <v>32</v>
      </c>
      <c r="X48" s="40"/>
      <c r="Y48" s="40"/>
      <c r="Z48" s="40"/>
      <c r="AA48" s="40"/>
      <c r="AB48" s="40"/>
      <c r="AC48" s="40"/>
      <c r="AD48" s="8"/>
      <c r="AE48" s="8"/>
    </row>
    <row r="49" spans="1:31" ht="39.950000000000003" customHeight="1" x14ac:dyDescent="0.2">
      <c r="A49" s="9" t="s">
        <v>130</v>
      </c>
      <c r="B49" s="9" t="s">
        <v>88</v>
      </c>
      <c r="C49" s="10" t="s">
        <v>70</v>
      </c>
      <c r="D49" s="11"/>
      <c r="E49" s="11"/>
      <c r="F49" s="12" t="str">
        <f>IF(OR(TRIM(A49)="",AND(E49=0,D49&lt;&gt;0)),"-",IF(AND(OR(C49="EE",C49="CE",C49="SE"),D49=0,E49=0), "Médio", IF(AND(OR(C49="ALI",C49="AIE"),D49=0,E49=0),"Baixo",IF(OR(C49="ALI",C49="AIE"),IF(D49=0,"-",VLOOKUP(D49,{1,"Baixo","Baixo","Médio";2,"Baixo","Médio","Alto";6,"Médio","Alto","Alto"},MATCH(E49,{1,20,51})+1)),IF(C49="EE",VLOOKUP(D49,{0,"Baixo","Baixo","Médio";2,"Baixo","Médio","Alto";3,"Médio","Alto","Alto"},MATCH(E49,{1,5,16})+1),IF(OR(C49="SE",C49="CE"),IF(AND(D49=0,C49="CE"),"-",VLOOKUP(D49,{0,"Baixo","Baixo","Médio";2,"Baixo","Médio","Alto";4,"Médio","Alto","Alto"},MATCH(E49,{1,6,20})+1)),"-"))))))</f>
        <v>-</v>
      </c>
      <c r="G49" s="13" t="str">
        <f>IF(F49="-","-",VLOOKUP(C49,{"ALI",7,10,15;"AIE",5,7,10;"EE",3,4,6;"SE",4,5,7;"CE",3,4,6},MATCH(F49,{"Baixo","Médio","Alto"},0)+1,FALSE))</f>
        <v>-</v>
      </c>
      <c r="H49" s="11" t="s">
        <v>77</v>
      </c>
      <c r="I49" s="15" t="s">
        <v>73</v>
      </c>
      <c r="J49" s="11"/>
      <c r="K49" s="11"/>
      <c r="L49" s="11"/>
      <c r="M49" s="12">
        <f t="shared" si="52"/>
        <v>0</v>
      </c>
      <c r="N49" s="13" t="str">
        <f t="shared" si="53"/>
        <v>-</v>
      </c>
      <c r="O49" s="11"/>
      <c r="P49" s="11"/>
      <c r="Q49" s="11"/>
      <c r="R49" s="12" t="str">
        <f t="shared" si="54"/>
        <v>-</v>
      </c>
      <c r="S49" s="13" t="str">
        <f t="shared" si="55"/>
        <v>-</v>
      </c>
      <c r="T49" s="14">
        <f>IF(AND(H49="Modificar",SUM(J49:R49)=0),0.25,IF(AND(H49="Dados de Código",AND(D49+E49=0,OR(C49="-",C49=""))),0.1,IF(H49="Eliminar",0.4,IF(H49="Perfectiva",0.3,IF(H49="Somente teste",0.15,IF(H49="Teste + Plano",0.2,IF(H49="Criar",1,IF(OR(AND(H49&lt;&gt;"Modificar",H49&lt;&gt;"Dados de Código"),M49="-",S49="-"),"-",IF(OR(I49="ALI",I49="AIE"),IF(LEFT(C49)&lt;&gt;"A","-",IF(AND(SUM(J49:L49)=0,SUM(O49:Q49)=0),IF(C49&lt;&gt;I49,0.4,"-"),IF(H49="Modificar",HLOOKUP(S49,{0,34,68,101;0.25,0.5,0.75,1},2),HLOOKUP(S49,{0,34,68,101;0.25,0.5,0.75,1},2)*0.1))),IF(OR(AND(I49&lt;&gt;"EE",I49&lt;&gt;"SE",I49&lt;&gt;"CE"),N49="-"),"-", IF(H49="Modificar",VLOOKUP(N49,{0,0.25,0.5,0.75;34,0.5,0.75,1;68,0.75,1,1;101,1,1,1},MATCH(S49,{0,68,101})+1),VLOOKUP(N49,{0,0.25,0.5,0.75;34,0.5,0.75,1;68,0.75,1,1;101,1,1,1},MATCH(S49,{0,68,101})+1)*0.1)))))))))))</f>
        <v>1</v>
      </c>
      <c r="U49" s="14" t="str">
        <f>IF(AND(H49="Modificar",D49+E49=0),F49,IF(OR(T49="-",AND(OR(H49="Perfectiva",H49="Somente teste",H49="Teste + Plano"),F49="-",I49=""),AND(H49="Eliminar",AND(C49&lt;&gt;I49,I49&lt;&gt;"-",I49&lt;&gt;""))),"-",IF(AND(H49="Criar",OR(AND(C49&lt;&gt;"",C49&lt;&gt;"-"),F49&lt;&gt;"-",I49="")),"X",IF(AND(A49&lt;&gt;"",H49&lt;&gt;"Eliminar",F49="-",T49&lt;&gt;0,J49+K49+L49+O49+P49+Q49=0),IF(OR(I49="ALI",I49="AIE"),"Baixo","Médio"),IF(AND(OR(M49="-",R49="-"),OR(H49="Criar",F49="-",AND(H49="Eliminar",J49+K49+L49+O49+P49+Q49&lt;&gt;0))),"-",IF(OR(H49="Perfectiva",H49="Eliminar",H49="Somente teste",H49="Teste + Plano"),F49,IF(OR(I49="ALI",I49="AIE"),IF(M49=0,"-",VLOOKUP(M49,{1,"Baixo","Baixo","Médio";2,"Baixo","Médio","Alto";6,"Médio","Alto","Alto"},MATCH(R49,{1,20,51})+1)),IF(I49="EE",VLOOKUP(M49,{0,"Baixo","Baixo","Médio";2,"Baixo","Médio","Alto";3,"Médio","Alto","Alto"},MATCH(R49,{1,5,16})+1),IF(OR(I49="SE",I49="CE"),IF(AND(M49=0,I49="CE"),IF(OR(H49="Perfectiva",H49="Eliminar",H49="Somente teste",H49="Teste + Plano",H49="Modificar"),F49,"-"),VLOOKUP(M49,{0,"Baixo","Baixo","Médio";2,"Baixo","Médio","Alto";4,"Médio","Alto","Alto"},MATCH(R49,{1,6,20})+1)),)))))))))</f>
        <v>Médio</v>
      </c>
      <c r="V49" s="14">
        <f>IF(OR(T49="-",U49="-",OR(AND(OR(I49="-",I49=""),OR(H49="Modificar",H49="Dados de Código")))),"-",IF(H49="Eliminar",G49*T49,IF(AND(OR(H49="Teste + Plano",H49="Somente teste"),F49&lt;&gt;"-"),(G49*0.5)*T49,T49*VLOOKUP(I49,{"ALI",7,10,15;"AIE",5,7,10;"EE",3,4,6;"SE",4,5,7;"CE",3,4,6},MATCH(U49,{"Baixo","Médio","Alto"},0)+1,FALSE))))</f>
        <v>5</v>
      </c>
      <c r="W49" s="15" t="s">
        <v>32</v>
      </c>
      <c r="X49" s="40"/>
      <c r="Y49" s="40"/>
      <c r="Z49" s="40"/>
      <c r="AA49" s="40"/>
      <c r="AB49" s="40"/>
      <c r="AC49" s="40"/>
      <c r="AD49" s="8"/>
      <c r="AE49" s="8"/>
    </row>
    <row r="50" spans="1:31" ht="39.950000000000003" customHeight="1" x14ac:dyDescent="0.2">
      <c r="A50" s="9" t="s">
        <v>131</v>
      </c>
      <c r="B50" s="9" t="s">
        <v>88</v>
      </c>
      <c r="C50" s="10" t="s">
        <v>70</v>
      </c>
      <c r="D50" s="11"/>
      <c r="E50" s="11"/>
      <c r="F50" s="12" t="str">
        <f>IF(OR(TRIM(A50)="",AND(E50=0,D50&lt;&gt;0)),"-",IF(AND(OR(C50="EE",C50="CE",C50="SE"),D50=0,E50=0), "Médio", IF(AND(OR(C50="ALI",C50="AIE"),D50=0,E50=0),"Baixo",IF(OR(C50="ALI",C50="AIE"),IF(D50=0,"-",VLOOKUP(D50,{1,"Baixo","Baixo","Médio";2,"Baixo","Médio","Alto";6,"Médio","Alto","Alto"},MATCH(E50,{1,20,51})+1)),IF(C50="EE",VLOOKUP(D50,{0,"Baixo","Baixo","Médio";2,"Baixo","Médio","Alto";3,"Médio","Alto","Alto"},MATCH(E50,{1,5,16})+1),IF(OR(C50="SE",C50="CE"),IF(AND(D50=0,C50="CE"),"-",VLOOKUP(D50,{0,"Baixo","Baixo","Médio";2,"Baixo","Médio","Alto";4,"Médio","Alto","Alto"},MATCH(E50,{1,6,20})+1)),"-"))))))</f>
        <v>-</v>
      </c>
      <c r="G50" s="13" t="str">
        <f>IF(F50="-","-",VLOOKUP(C50,{"ALI",7,10,15;"AIE",5,7,10;"EE",3,4,6;"SE",4,5,7;"CE",3,4,6},MATCH(F50,{"Baixo","Médio","Alto"},0)+1,FALSE))</f>
        <v>-</v>
      </c>
      <c r="H50" s="11" t="s">
        <v>77</v>
      </c>
      <c r="I50" s="15" t="s">
        <v>73</v>
      </c>
      <c r="J50" s="11"/>
      <c r="K50" s="11"/>
      <c r="L50" s="11"/>
      <c r="M50" s="12">
        <f t="shared" si="52"/>
        <v>0</v>
      </c>
      <c r="N50" s="13" t="str">
        <f t="shared" si="53"/>
        <v>-</v>
      </c>
      <c r="O50" s="11"/>
      <c r="P50" s="11"/>
      <c r="Q50" s="11"/>
      <c r="R50" s="12" t="str">
        <f t="shared" si="54"/>
        <v>-</v>
      </c>
      <c r="S50" s="13" t="str">
        <f t="shared" si="55"/>
        <v>-</v>
      </c>
      <c r="T50" s="14">
        <f>IF(AND(H50="Modificar",SUM(J50:R50)=0),0.25,IF(AND(H50="Dados de Código",AND(D50+E50=0,OR(C50="-",C50=""))),0.1,IF(H50="Eliminar",0.4,IF(H50="Perfectiva",0.3,IF(H50="Somente teste",0.15,IF(H50="Teste + Plano",0.2,IF(H50="Criar",1,IF(OR(AND(H50&lt;&gt;"Modificar",H50&lt;&gt;"Dados de Código"),M50="-",S50="-"),"-",IF(OR(I50="ALI",I50="AIE"),IF(LEFT(C50)&lt;&gt;"A","-",IF(AND(SUM(J50:L50)=0,SUM(O50:Q50)=0),IF(C50&lt;&gt;I50,0.4,"-"),IF(H50="Modificar",HLOOKUP(S50,{0,34,68,101;0.25,0.5,0.75,1},2),HLOOKUP(S50,{0,34,68,101;0.25,0.5,0.75,1},2)*0.1))),IF(OR(AND(I50&lt;&gt;"EE",I50&lt;&gt;"SE",I50&lt;&gt;"CE"),N50="-"),"-", IF(H50="Modificar",VLOOKUP(N50,{0,0.25,0.5,0.75;34,0.5,0.75,1;68,0.75,1,1;101,1,1,1},MATCH(S50,{0,68,101})+1),VLOOKUP(N50,{0,0.25,0.5,0.75;34,0.5,0.75,1;68,0.75,1,1;101,1,1,1},MATCH(S50,{0,68,101})+1)*0.1)))))))))))</f>
        <v>1</v>
      </c>
      <c r="U50" s="14" t="str">
        <f>IF(AND(H50="Modificar",D50+E50=0),F50,IF(OR(T50="-",AND(OR(H50="Perfectiva",H50="Somente teste",H50="Teste + Plano"),F50="-",I50=""),AND(H50="Eliminar",AND(C50&lt;&gt;I50,I50&lt;&gt;"-",I50&lt;&gt;""))),"-",IF(AND(H50="Criar",OR(AND(C50&lt;&gt;"",C50&lt;&gt;"-"),F50&lt;&gt;"-",I50="")),"X",IF(AND(A50&lt;&gt;"",H50&lt;&gt;"Eliminar",F50="-",T50&lt;&gt;0,J50+K50+L50+O50+P50+Q50=0),IF(OR(I50="ALI",I50="AIE"),"Baixo","Médio"),IF(AND(OR(M50="-",R50="-"),OR(H50="Criar",F50="-",AND(H50="Eliminar",J50+K50+L50+O50+P50+Q50&lt;&gt;0))),"-",IF(OR(H50="Perfectiva",H50="Eliminar",H50="Somente teste",H50="Teste + Plano"),F50,IF(OR(I50="ALI",I50="AIE"),IF(M50=0,"-",VLOOKUP(M50,{1,"Baixo","Baixo","Médio";2,"Baixo","Médio","Alto";6,"Médio","Alto","Alto"},MATCH(R50,{1,20,51})+1)),IF(I50="EE",VLOOKUP(M50,{0,"Baixo","Baixo","Médio";2,"Baixo","Médio","Alto";3,"Médio","Alto","Alto"},MATCH(R50,{1,5,16})+1),IF(OR(I50="SE",I50="CE"),IF(AND(M50=0,I50="CE"),IF(OR(H50="Perfectiva",H50="Eliminar",H50="Somente teste",H50="Teste + Plano",H50="Modificar"),F50,"-"),VLOOKUP(M50,{0,"Baixo","Baixo","Médio";2,"Baixo","Médio","Alto";4,"Médio","Alto","Alto"},MATCH(R50,{1,6,20})+1)),)))))))))</f>
        <v>Médio</v>
      </c>
      <c r="V50" s="14">
        <f>IF(OR(T50="-",U50="-",OR(AND(OR(I50="-",I50=""),OR(H50="Modificar",H50="Dados de Código")))),"-",IF(H50="Eliminar",G50*T50,IF(AND(OR(H50="Teste + Plano",H50="Somente teste"),F50&lt;&gt;"-"),(G50*0.5)*T50,T50*VLOOKUP(I50,{"ALI",7,10,15;"AIE",5,7,10;"EE",3,4,6;"SE",4,5,7;"CE",3,4,6},MATCH(U50,{"Baixo","Médio","Alto"},0)+1,FALSE))))</f>
        <v>5</v>
      </c>
      <c r="W50" s="15" t="s">
        <v>32</v>
      </c>
      <c r="X50" s="40"/>
      <c r="Y50" s="40"/>
      <c r="Z50" s="40"/>
      <c r="AA50" s="40"/>
      <c r="AB50" s="40"/>
      <c r="AC50" s="40"/>
      <c r="AD50" s="8"/>
      <c r="AE50" s="8"/>
    </row>
    <row r="51" spans="1:31" ht="39.950000000000003" customHeight="1" x14ac:dyDescent="0.2">
      <c r="A51" s="9" t="s">
        <v>132</v>
      </c>
      <c r="B51" s="9" t="s">
        <v>88</v>
      </c>
      <c r="C51" s="10" t="s">
        <v>70</v>
      </c>
      <c r="D51" s="11"/>
      <c r="E51" s="11"/>
      <c r="F51" s="12" t="str">
        <f>IF(OR(TRIM(A51)="",AND(E51=0,D51&lt;&gt;0)),"-",IF(AND(OR(C51="EE",C51="CE",C51="SE"),D51=0,E51=0), "Médio", IF(AND(OR(C51="ALI",C51="AIE"),D51=0,E51=0),"Baixo",IF(OR(C51="ALI",C51="AIE"),IF(D51=0,"-",VLOOKUP(D51,{1,"Baixo","Baixo","Médio";2,"Baixo","Médio","Alto";6,"Médio","Alto","Alto"},MATCH(E51,{1,20,51})+1)),IF(C51="EE",VLOOKUP(D51,{0,"Baixo","Baixo","Médio";2,"Baixo","Médio","Alto";3,"Médio","Alto","Alto"},MATCH(E51,{1,5,16})+1),IF(OR(C51="SE",C51="CE"),IF(AND(D51=0,C51="CE"),"-",VLOOKUP(D51,{0,"Baixo","Baixo","Médio";2,"Baixo","Médio","Alto";4,"Médio","Alto","Alto"},MATCH(E51,{1,6,20})+1)),"-"))))))</f>
        <v>-</v>
      </c>
      <c r="G51" s="13" t="str">
        <f>IF(F51="-","-",VLOOKUP(C51,{"ALI",7,10,15;"AIE",5,7,10;"EE",3,4,6;"SE",4,5,7;"CE",3,4,6},MATCH(F51,{"Baixo","Médio","Alto"},0)+1,FALSE))</f>
        <v>-</v>
      </c>
      <c r="H51" s="11" t="s">
        <v>77</v>
      </c>
      <c r="I51" s="15" t="s">
        <v>73</v>
      </c>
      <c r="J51" s="11"/>
      <c r="K51" s="11"/>
      <c r="L51" s="11"/>
      <c r="M51" s="12">
        <f t="shared" si="52"/>
        <v>0</v>
      </c>
      <c r="N51" s="13" t="str">
        <f t="shared" si="53"/>
        <v>-</v>
      </c>
      <c r="O51" s="11"/>
      <c r="P51" s="11"/>
      <c r="Q51" s="11"/>
      <c r="R51" s="12" t="str">
        <f t="shared" si="54"/>
        <v>-</v>
      </c>
      <c r="S51" s="13" t="str">
        <f t="shared" si="55"/>
        <v>-</v>
      </c>
      <c r="T51" s="14">
        <f>IF(AND(H51="Modificar",SUM(J51:R51)=0),0.25,IF(AND(H51="Dados de Código",AND(D51+E51=0,OR(C51="-",C51=""))),0.1,IF(H51="Eliminar",0.4,IF(H51="Perfectiva",0.3,IF(H51="Somente teste",0.15,IF(H51="Teste + Plano",0.2,IF(H51="Criar",1,IF(OR(AND(H51&lt;&gt;"Modificar",H51&lt;&gt;"Dados de Código"),M51="-",S51="-"),"-",IF(OR(I51="ALI",I51="AIE"),IF(LEFT(C51)&lt;&gt;"A","-",IF(AND(SUM(J51:L51)=0,SUM(O51:Q51)=0),IF(C51&lt;&gt;I51,0.4,"-"),IF(H51="Modificar",HLOOKUP(S51,{0,34,68,101;0.25,0.5,0.75,1},2),HLOOKUP(S51,{0,34,68,101;0.25,0.5,0.75,1},2)*0.1))),IF(OR(AND(I51&lt;&gt;"EE",I51&lt;&gt;"SE",I51&lt;&gt;"CE"),N51="-"),"-", IF(H51="Modificar",VLOOKUP(N51,{0,0.25,0.5,0.75;34,0.5,0.75,1;68,0.75,1,1;101,1,1,1},MATCH(S51,{0,68,101})+1),VLOOKUP(N51,{0,0.25,0.5,0.75;34,0.5,0.75,1;68,0.75,1,1;101,1,1,1},MATCH(S51,{0,68,101})+1)*0.1)))))))))))</f>
        <v>1</v>
      </c>
      <c r="U51" s="14" t="str">
        <f>IF(AND(H51="Modificar",D51+E51=0),F51,IF(OR(T51="-",AND(OR(H51="Perfectiva",H51="Somente teste",H51="Teste + Plano"),F51="-",I51=""),AND(H51="Eliminar",AND(C51&lt;&gt;I51,I51&lt;&gt;"-",I51&lt;&gt;""))),"-",IF(AND(H51="Criar",OR(AND(C51&lt;&gt;"",C51&lt;&gt;"-"),F51&lt;&gt;"-",I51="")),"X",IF(AND(A51&lt;&gt;"",H51&lt;&gt;"Eliminar",F51="-",T51&lt;&gt;0,J51+K51+L51+O51+P51+Q51=0),IF(OR(I51="ALI",I51="AIE"),"Baixo","Médio"),IF(AND(OR(M51="-",R51="-"),OR(H51="Criar",F51="-",AND(H51="Eliminar",J51+K51+L51+O51+P51+Q51&lt;&gt;0))),"-",IF(OR(H51="Perfectiva",H51="Eliminar",H51="Somente teste",H51="Teste + Plano"),F51,IF(OR(I51="ALI",I51="AIE"),IF(M51=0,"-",VLOOKUP(M51,{1,"Baixo","Baixo","Médio";2,"Baixo","Médio","Alto";6,"Médio","Alto","Alto"},MATCH(R51,{1,20,51})+1)),IF(I51="EE",VLOOKUP(M51,{0,"Baixo","Baixo","Médio";2,"Baixo","Médio","Alto";3,"Médio","Alto","Alto"},MATCH(R51,{1,5,16})+1),IF(OR(I51="SE",I51="CE"),IF(AND(M51=0,I51="CE"),IF(OR(H51="Perfectiva",H51="Eliminar",H51="Somente teste",H51="Teste + Plano",H51="Modificar"),F51,"-"),VLOOKUP(M51,{0,"Baixo","Baixo","Médio";2,"Baixo","Médio","Alto";4,"Médio","Alto","Alto"},MATCH(R51,{1,6,20})+1)),)))))))))</f>
        <v>Médio</v>
      </c>
      <c r="V51" s="14">
        <f>IF(OR(T51="-",U51="-",OR(AND(OR(I51="-",I51=""),OR(H51="Modificar",H51="Dados de Código")))),"-",IF(H51="Eliminar",G51*T51,IF(AND(OR(H51="Teste + Plano",H51="Somente teste"),F51&lt;&gt;"-"),(G51*0.5)*T51,T51*VLOOKUP(I51,{"ALI",7,10,15;"AIE",5,7,10;"EE",3,4,6;"SE",4,5,7;"CE",3,4,6},MATCH(U51,{"Baixo","Médio","Alto"},0)+1,FALSE))))</f>
        <v>5</v>
      </c>
      <c r="W51" s="15" t="s">
        <v>32</v>
      </c>
      <c r="X51" s="40"/>
      <c r="Y51" s="40"/>
      <c r="Z51" s="40"/>
      <c r="AA51" s="40"/>
      <c r="AB51" s="40"/>
      <c r="AC51" s="40"/>
      <c r="AD51" s="8"/>
      <c r="AE51" s="8"/>
    </row>
    <row r="52" spans="1:31" ht="39.950000000000003" customHeight="1" x14ac:dyDescent="0.2">
      <c r="A52" s="9" t="s">
        <v>133</v>
      </c>
      <c r="B52" s="9" t="s">
        <v>88</v>
      </c>
      <c r="C52" s="10" t="s">
        <v>70</v>
      </c>
      <c r="D52" s="11"/>
      <c r="E52" s="11"/>
      <c r="F52" s="12" t="str">
        <f>IF(OR(TRIM(A52)="",AND(E52=0,D52&lt;&gt;0)),"-",IF(AND(OR(C52="EE",C52="CE",C52="SE"),D52=0,E52=0), "Médio", IF(AND(OR(C52="ALI",C52="AIE"),D52=0,E52=0),"Baixo",IF(OR(C52="ALI",C52="AIE"),IF(D52=0,"-",VLOOKUP(D52,{1,"Baixo","Baixo","Médio";2,"Baixo","Médio","Alto";6,"Médio","Alto","Alto"},MATCH(E52,{1,20,51})+1)),IF(C52="EE",VLOOKUP(D52,{0,"Baixo","Baixo","Médio";2,"Baixo","Médio","Alto";3,"Médio","Alto","Alto"},MATCH(E52,{1,5,16})+1),IF(OR(C52="SE",C52="CE"),IF(AND(D52=0,C52="CE"),"-",VLOOKUP(D52,{0,"Baixo","Baixo","Médio";2,"Baixo","Médio","Alto";4,"Médio","Alto","Alto"},MATCH(E52,{1,6,20})+1)),"-"))))))</f>
        <v>-</v>
      </c>
      <c r="G52" s="13" t="str">
        <f>IF(F52="-","-",VLOOKUP(C52,{"ALI",7,10,15;"AIE",5,7,10;"EE",3,4,6;"SE",4,5,7;"CE",3,4,6},MATCH(F52,{"Baixo","Médio","Alto"},0)+1,FALSE))</f>
        <v>-</v>
      </c>
      <c r="H52" s="11" t="s">
        <v>77</v>
      </c>
      <c r="I52" s="15" t="s">
        <v>73</v>
      </c>
      <c r="J52" s="11"/>
      <c r="K52" s="11"/>
      <c r="L52" s="11"/>
      <c r="M52" s="12">
        <f t="shared" si="52"/>
        <v>0</v>
      </c>
      <c r="N52" s="13" t="str">
        <f t="shared" si="53"/>
        <v>-</v>
      </c>
      <c r="O52" s="11"/>
      <c r="P52" s="11"/>
      <c r="Q52" s="11"/>
      <c r="R52" s="12" t="str">
        <f t="shared" si="54"/>
        <v>-</v>
      </c>
      <c r="S52" s="13" t="str">
        <f t="shared" si="55"/>
        <v>-</v>
      </c>
      <c r="T52" s="14">
        <f>IF(AND(H52="Modificar",SUM(J52:R52)=0),0.25,IF(AND(H52="Dados de Código",AND(D52+E52=0,OR(C52="-",C52=""))),0.1,IF(H52="Eliminar",0.4,IF(H52="Perfectiva",0.3,IF(H52="Somente teste",0.15,IF(H52="Teste + Plano",0.2,IF(H52="Criar",1,IF(OR(AND(H52&lt;&gt;"Modificar",H52&lt;&gt;"Dados de Código"),M52="-",S52="-"),"-",IF(OR(I52="ALI",I52="AIE"),IF(LEFT(C52)&lt;&gt;"A","-",IF(AND(SUM(J52:L52)=0,SUM(O52:Q52)=0),IF(C52&lt;&gt;I52,0.4,"-"),IF(H52="Modificar",HLOOKUP(S52,{0,34,68,101;0.25,0.5,0.75,1},2),HLOOKUP(S52,{0,34,68,101;0.25,0.5,0.75,1},2)*0.1))),IF(OR(AND(I52&lt;&gt;"EE",I52&lt;&gt;"SE",I52&lt;&gt;"CE"),N52="-"),"-", IF(H52="Modificar",VLOOKUP(N52,{0,0.25,0.5,0.75;34,0.5,0.75,1;68,0.75,1,1;101,1,1,1},MATCH(S52,{0,68,101})+1),VLOOKUP(N52,{0,0.25,0.5,0.75;34,0.5,0.75,1;68,0.75,1,1;101,1,1,1},MATCH(S52,{0,68,101})+1)*0.1)))))))))))</f>
        <v>1</v>
      </c>
      <c r="U52" s="14" t="str">
        <f>IF(AND(H52="Modificar",D52+E52=0),F52,IF(OR(T52="-",AND(OR(H52="Perfectiva",H52="Somente teste",H52="Teste + Plano"),F52="-",I52=""),AND(H52="Eliminar",AND(C52&lt;&gt;I52,I52&lt;&gt;"-",I52&lt;&gt;""))),"-",IF(AND(H52="Criar",OR(AND(C52&lt;&gt;"",C52&lt;&gt;"-"),F52&lt;&gt;"-",I52="")),"X",IF(AND(A52&lt;&gt;"",H52&lt;&gt;"Eliminar",F52="-",T52&lt;&gt;0,J52+K52+L52+O52+P52+Q52=0),IF(OR(I52="ALI",I52="AIE"),"Baixo","Médio"),IF(AND(OR(M52="-",R52="-"),OR(H52="Criar",F52="-",AND(H52="Eliminar",J52+K52+L52+O52+P52+Q52&lt;&gt;0))),"-",IF(OR(H52="Perfectiva",H52="Eliminar",H52="Somente teste",H52="Teste + Plano"),F52,IF(OR(I52="ALI",I52="AIE"),IF(M52=0,"-",VLOOKUP(M52,{1,"Baixo","Baixo","Médio";2,"Baixo","Médio","Alto";6,"Médio","Alto","Alto"},MATCH(R52,{1,20,51})+1)),IF(I52="EE",VLOOKUP(M52,{0,"Baixo","Baixo","Médio";2,"Baixo","Médio","Alto";3,"Médio","Alto","Alto"},MATCH(R52,{1,5,16})+1),IF(OR(I52="SE",I52="CE"),IF(AND(M52=0,I52="CE"),IF(OR(H52="Perfectiva",H52="Eliminar",H52="Somente teste",H52="Teste + Plano",H52="Modificar"),F52,"-"),VLOOKUP(M52,{0,"Baixo","Baixo","Médio";2,"Baixo","Médio","Alto";4,"Médio","Alto","Alto"},MATCH(R52,{1,6,20})+1)),)))))))))</f>
        <v>Médio</v>
      </c>
      <c r="V52" s="14">
        <f>IF(OR(T52="-",U52="-",OR(AND(OR(I52="-",I52=""),OR(H52="Modificar",H52="Dados de Código")))),"-",IF(H52="Eliminar",G52*T52,IF(AND(OR(H52="Teste + Plano",H52="Somente teste"),F52&lt;&gt;"-"),(G52*0.5)*T52,T52*VLOOKUP(I52,{"ALI",7,10,15;"AIE",5,7,10;"EE",3,4,6;"SE",4,5,7;"CE",3,4,6},MATCH(U52,{"Baixo","Médio","Alto"},0)+1,FALSE))))</f>
        <v>5</v>
      </c>
      <c r="W52" s="15" t="s">
        <v>32</v>
      </c>
      <c r="X52" s="40"/>
      <c r="Y52" s="40"/>
      <c r="Z52" s="40"/>
      <c r="AA52" s="40"/>
      <c r="AB52" s="40"/>
      <c r="AC52" s="40"/>
      <c r="AD52" s="8"/>
      <c r="AE52" s="8"/>
    </row>
    <row r="53" spans="1:31" ht="39.950000000000003" customHeight="1" x14ac:dyDescent="0.2">
      <c r="A53" s="9" t="s">
        <v>134</v>
      </c>
      <c r="B53" s="9" t="s">
        <v>88</v>
      </c>
      <c r="C53" s="10" t="s">
        <v>70</v>
      </c>
      <c r="D53" s="11"/>
      <c r="E53" s="11"/>
      <c r="F53" s="12" t="str">
        <f>IF(OR(TRIM(A53)="",AND(E53=0,D53&lt;&gt;0)),"-",IF(AND(OR(C53="EE",C53="CE",C53="SE"),D53=0,E53=0), "Médio", IF(AND(OR(C53="ALI",C53="AIE"),D53=0,E53=0),"Baixo",IF(OR(C53="ALI",C53="AIE"),IF(D53=0,"-",VLOOKUP(D53,{1,"Baixo","Baixo","Médio";2,"Baixo","Médio","Alto";6,"Médio","Alto","Alto"},MATCH(E53,{1,20,51})+1)),IF(C53="EE",VLOOKUP(D53,{0,"Baixo","Baixo","Médio";2,"Baixo","Médio","Alto";3,"Médio","Alto","Alto"},MATCH(E53,{1,5,16})+1),IF(OR(C53="SE",C53="CE"),IF(AND(D53=0,C53="CE"),"-",VLOOKUP(D53,{0,"Baixo","Baixo","Médio";2,"Baixo","Médio","Alto";4,"Médio","Alto","Alto"},MATCH(E53,{1,6,20})+1)),"-"))))))</f>
        <v>-</v>
      </c>
      <c r="G53" s="13" t="str">
        <f>IF(F53="-","-",VLOOKUP(C53,{"ALI",7,10,15;"AIE",5,7,10;"EE",3,4,6;"SE",4,5,7;"CE",3,4,6},MATCH(F53,{"Baixo","Médio","Alto"},0)+1,FALSE))</f>
        <v>-</v>
      </c>
      <c r="H53" s="11" t="s">
        <v>77</v>
      </c>
      <c r="I53" s="15" t="s">
        <v>73</v>
      </c>
      <c r="J53" s="11"/>
      <c r="K53" s="11"/>
      <c r="L53" s="11"/>
      <c r="M53" s="12">
        <f t="shared" si="52"/>
        <v>0</v>
      </c>
      <c r="N53" s="13" t="str">
        <f t="shared" si="53"/>
        <v>-</v>
      </c>
      <c r="O53" s="11"/>
      <c r="P53" s="11"/>
      <c r="Q53" s="11"/>
      <c r="R53" s="12" t="str">
        <f t="shared" si="54"/>
        <v>-</v>
      </c>
      <c r="S53" s="13" t="str">
        <f t="shared" si="55"/>
        <v>-</v>
      </c>
      <c r="T53" s="14">
        <f>IF(AND(H53="Modificar",SUM(J53:R53)=0),0.25,IF(AND(H53="Dados de Código",AND(D53+E53=0,OR(C53="-",C53=""))),0.1,IF(H53="Eliminar",0.4,IF(H53="Perfectiva",0.3,IF(H53="Somente teste",0.15,IF(H53="Teste + Plano",0.2,IF(H53="Criar",1,IF(OR(AND(H53&lt;&gt;"Modificar",H53&lt;&gt;"Dados de Código"),M53="-",S53="-"),"-",IF(OR(I53="ALI",I53="AIE"),IF(LEFT(C53)&lt;&gt;"A","-",IF(AND(SUM(J53:L53)=0,SUM(O53:Q53)=0),IF(C53&lt;&gt;I53,0.4,"-"),IF(H53="Modificar",HLOOKUP(S53,{0,34,68,101;0.25,0.5,0.75,1},2),HLOOKUP(S53,{0,34,68,101;0.25,0.5,0.75,1},2)*0.1))),IF(OR(AND(I53&lt;&gt;"EE",I53&lt;&gt;"SE",I53&lt;&gt;"CE"),N53="-"),"-", IF(H53="Modificar",VLOOKUP(N53,{0,0.25,0.5,0.75;34,0.5,0.75,1;68,0.75,1,1;101,1,1,1},MATCH(S53,{0,68,101})+1),VLOOKUP(N53,{0,0.25,0.5,0.75;34,0.5,0.75,1;68,0.75,1,1;101,1,1,1},MATCH(S53,{0,68,101})+1)*0.1)))))))))))</f>
        <v>1</v>
      </c>
      <c r="U53" s="14" t="str">
        <f>IF(AND(H53="Modificar",D53+E53=0),F53,IF(OR(T53="-",AND(OR(H53="Perfectiva",H53="Somente teste",H53="Teste + Plano"),F53="-",I53=""),AND(H53="Eliminar",AND(C53&lt;&gt;I53,I53&lt;&gt;"-",I53&lt;&gt;""))),"-",IF(AND(H53="Criar",OR(AND(C53&lt;&gt;"",C53&lt;&gt;"-"),F53&lt;&gt;"-",I53="")),"X",IF(AND(A53&lt;&gt;"",H53&lt;&gt;"Eliminar",F53="-",T53&lt;&gt;0,J53+K53+L53+O53+P53+Q53=0),IF(OR(I53="ALI",I53="AIE"),"Baixo","Médio"),IF(AND(OR(M53="-",R53="-"),OR(H53="Criar",F53="-",AND(H53="Eliminar",J53+K53+L53+O53+P53+Q53&lt;&gt;0))),"-",IF(OR(H53="Perfectiva",H53="Eliminar",H53="Somente teste",H53="Teste + Plano"),F53,IF(OR(I53="ALI",I53="AIE"),IF(M53=0,"-",VLOOKUP(M53,{1,"Baixo","Baixo","Médio";2,"Baixo","Médio","Alto";6,"Médio","Alto","Alto"},MATCH(R53,{1,20,51})+1)),IF(I53="EE",VLOOKUP(M53,{0,"Baixo","Baixo","Médio";2,"Baixo","Médio","Alto";3,"Médio","Alto","Alto"},MATCH(R53,{1,5,16})+1),IF(OR(I53="SE",I53="CE"),IF(AND(M53=0,I53="CE"),IF(OR(H53="Perfectiva",H53="Eliminar",H53="Somente teste",H53="Teste + Plano",H53="Modificar"),F53,"-"),VLOOKUP(M53,{0,"Baixo","Baixo","Médio";2,"Baixo","Médio","Alto";4,"Médio","Alto","Alto"},MATCH(R53,{1,6,20})+1)),)))))))))</f>
        <v>Médio</v>
      </c>
      <c r="V53" s="14">
        <f>IF(OR(T53="-",U53="-",OR(AND(OR(I53="-",I53=""),OR(H53="Modificar",H53="Dados de Código")))),"-",IF(H53="Eliminar",G53*T53,IF(AND(OR(H53="Teste + Plano",H53="Somente teste"),F53&lt;&gt;"-"),(G53*0.5)*T53,T53*VLOOKUP(I53,{"ALI",7,10,15;"AIE",5,7,10;"EE",3,4,6;"SE",4,5,7;"CE",3,4,6},MATCH(U53,{"Baixo","Médio","Alto"},0)+1,FALSE))))</f>
        <v>5</v>
      </c>
      <c r="W53" s="15" t="s">
        <v>32</v>
      </c>
      <c r="X53" s="40"/>
      <c r="Y53" s="40"/>
      <c r="Z53" s="40"/>
      <c r="AA53" s="40"/>
      <c r="AB53" s="40"/>
      <c r="AC53" s="40"/>
      <c r="AD53" s="8"/>
      <c r="AE53" s="8"/>
    </row>
    <row r="54" spans="1:31" ht="39.950000000000003" customHeight="1" x14ac:dyDescent="0.2">
      <c r="A54" s="9" t="s">
        <v>135</v>
      </c>
      <c r="B54" s="9" t="s">
        <v>88</v>
      </c>
      <c r="C54" s="10" t="s">
        <v>70</v>
      </c>
      <c r="D54" s="11"/>
      <c r="E54" s="11"/>
      <c r="F54" s="12" t="str">
        <f>IF(OR(TRIM(A54)="",AND(E54=0,D54&lt;&gt;0)),"-",IF(AND(OR(C54="EE",C54="CE",C54="SE"),D54=0,E54=0), "Médio", IF(AND(OR(C54="ALI",C54="AIE"),D54=0,E54=0),"Baixo",IF(OR(C54="ALI",C54="AIE"),IF(D54=0,"-",VLOOKUP(D54,{1,"Baixo","Baixo","Médio";2,"Baixo","Médio","Alto";6,"Médio","Alto","Alto"},MATCH(E54,{1,20,51})+1)),IF(C54="EE",VLOOKUP(D54,{0,"Baixo","Baixo","Médio";2,"Baixo","Médio","Alto";3,"Médio","Alto","Alto"},MATCH(E54,{1,5,16})+1),IF(OR(C54="SE",C54="CE"),IF(AND(D54=0,C54="CE"),"-",VLOOKUP(D54,{0,"Baixo","Baixo","Médio";2,"Baixo","Médio","Alto";4,"Médio","Alto","Alto"},MATCH(E54,{1,6,20})+1)),"-"))))))</f>
        <v>-</v>
      </c>
      <c r="G54" s="13" t="str">
        <f>IF(F54="-","-",VLOOKUP(C54,{"ALI",7,10,15;"AIE",5,7,10;"EE",3,4,6;"SE",4,5,7;"CE",3,4,6},MATCH(F54,{"Baixo","Médio","Alto"},0)+1,FALSE))</f>
        <v>-</v>
      </c>
      <c r="H54" s="11" t="s">
        <v>77</v>
      </c>
      <c r="I54" s="15" t="s">
        <v>73</v>
      </c>
      <c r="J54" s="11"/>
      <c r="K54" s="11"/>
      <c r="L54" s="11"/>
      <c r="M54" s="12">
        <f t="shared" si="52"/>
        <v>0</v>
      </c>
      <c r="N54" s="13" t="str">
        <f t="shared" si="53"/>
        <v>-</v>
      </c>
      <c r="O54" s="11"/>
      <c r="P54" s="11"/>
      <c r="Q54" s="11"/>
      <c r="R54" s="12" t="str">
        <f t="shared" si="54"/>
        <v>-</v>
      </c>
      <c r="S54" s="13" t="str">
        <f t="shared" si="55"/>
        <v>-</v>
      </c>
      <c r="T54" s="14">
        <f>IF(AND(H54="Modificar",SUM(J54:R54)=0),0.25,IF(AND(H54="Dados de Código",AND(D54+E54=0,OR(C54="-",C54=""))),0.1,IF(H54="Eliminar",0.4,IF(H54="Perfectiva",0.3,IF(H54="Somente teste",0.15,IF(H54="Teste + Plano",0.2,IF(H54="Criar",1,IF(OR(AND(H54&lt;&gt;"Modificar",H54&lt;&gt;"Dados de Código"),M54="-",S54="-"),"-",IF(OR(I54="ALI",I54="AIE"),IF(LEFT(C54)&lt;&gt;"A","-",IF(AND(SUM(J54:L54)=0,SUM(O54:Q54)=0),IF(C54&lt;&gt;I54,0.4,"-"),IF(H54="Modificar",HLOOKUP(S54,{0,34,68,101;0.25,0.5,0.75,1},2),HLOOKUP(S54,{0,34,68,101;0.25,0.5,0.75,1},2)*0.1))),IF(OR(AND(I54&lt;&gt;"EE",I54&lt;&gt;"SE",I54&lt;&gt;"CE"),N54="-"),"-", IF(H54="Modificar",VLOOKUP(N54,{0,0.25,0.5,0.75;34,0.5,0.75,1;68,0.75,1,1;101,1,1,1},MATCH(S54,{0,68,101})+1),VLOOKUP(N54,{0,0.25,0.5,0.75;34,0.5,0.75,1;68,0.75,1,1;101,1,1,1},MATCH(S54,{0,68,101})+1)*0.1)))))))))))</f>
        <v>1</v>
      </c>
      <c r="U54" s="14" t="str">
        <f>IF(AND(H54="Modificar",D54+E54=0),F54,IF(OR(T54="-",AND(OR(H54="Perfectiva",H54="Somente teste",H54="Teste + Plano"),F54="-",I54=""),AND(H54="Eliminar",AND(C54&lt;&gt;I54,I54&lt;&gt;"-",I54&lt;&gt;""))),"-",IF(AND(H54="Criar",OR(AND(C54&lt;&gt;"",C54&lt;&gt;"-"),F54&lt;&gt;"-",I54="")),"X",IF(AND(A54&lt;&gt;"",H54&lt;&gt;"Eliminar",F54="-",T54&lt;&gt;0,J54+K54+L54+O54+P54+Q54=0),IF(OR(I54="ALI",I54="AIE"),"Baixo","Médio"),IF(AND(OR(M54="-",R54="-"),OR(H54="Criar",F54="-",AND(H54="Eliminar",J54+K54+L54+O54+P54+Q54&lt;&gt;0))),"-",IF(OR(H54="Perfectiva",H54="Eliminar",H54="Somente teste",H54="Teste + Plano"),F54,IF(OR(I54="ALI",I54="AIE"),IF(M54=0,"-",VLOOKUP(M54,{1,"Baixo","Baixo","Médio";2,"Baixo","Médio","Alto";6,"Médio","Alto","Alto"},MATCH(R54,{1,20,51})+1)),IF(I54="EE",VLOOKUP(M54,{0,"Baixo","Baixo","Médio";2,"Baixo","Médio","Alto";3,"Médio","Alto","Alto"},MATCH(R54,{1,5,16})+1),IF(OR(I54="SE",I54="CE"),IF(AND(M54=0,I54="CE"),IF(OR(H54="Perfectiva",H54="Eliminar",H54="Somente teste",H54="Teste + Plano",H54="Modificar"),F54,"-"),VLOOKUP(M54,{0,"Baixo","Baixo","Médio";2,"Baixo","Médio","Alto";4,"Médio","Alto","Alto"},MATCH(R54,{1,6,20})+1)),)))))))))</f>
        <v>Médio</v>
      </c>
      <c r="V54" s="14">
        <f>IF(OR(T54="-",U54="-",OR(AND(OR(I54="-",I54=""),OR(H54="Modificar",H54="Dados de Código")))),"-",IF(H54="Eliminar",G54*T54,IF(AND(OR(H54="Teste + Plano",H54="Somente teste"),F54&lt;&gt;"-"),(G54*0.5)*T54,T54*VLOOKUP(I54,{"ALI",7,10,15;"AIE",5,7,10;"EE",3,4,6;"SE",4,5,7;"CE",3,4,6},MATCH(U54,{"Baixo","Médio","Alto"},0)+1,FALSE))))</f>
        <v>5</v>
      </c>
      <c r="W54" s="15" t="s">
        <v>32</v>
      </c>
      <c r="X54" s="40"/>
      <c r="Y54" s="40"/>
      <c r="Z54" s="40"/>
      <c r="AA54" s="40"/>
      <c r="AB54" s="40"/>
      <c r="AC54" s="40"/>
      <c r="AD54" s="8"/>
      <c r="AE54" s="8"/>
    </row>
    <row r="55" spans="1:31" ht="39.950000000000003" customHeight="1" x14ac:dyDescent="0.2">
      <c r="A55" s="9" t="s">
        <v>136</v>
      </c>
      <c r="B55" s="9" t="s">
        <v>88</v>
      </c>
      <c r="C55" s="10" t="s">
        <v>70</v>
      </c>
      <c r="D55" s="11"/>
      <c r="E55" s="11"/>
      <c r="F55" s="12" t="str">
        <f>IF(OR(TRIM(A55)="",AND(E55=0,D55&lt;&gt;0)),"-",IF(AND(OR(C55="EE",C55="CE",C55="SE"),D55=0,E55=0), "Médio", IF(AND(OR(C55="ALI",C55="AIE"),D55=0,E55=0),"Baixo",IF(OR(C55="ALI",C55="AIE"),IF(D55=0,"-",VLOOKUP(D55,{1,"Baixo","Baixo","Médio";2,"Baixo","Médio","Alto";6,"Médio","Alto","Alto"},MATCH(E55,{1,20,51})+1)),IF(C55="EE",VLOOKUP(D55,{0,"Baixo","Baixo","Médio";2,"Baixo","Médio","Alto";3,"Médio","Alto","Alto"},MATCH(E55,{1,5,16})+1),IF(OR(C55="SE",C55="CE"),IF(AND(D55=0,C55="CE"),"-",VLOOKUP(D55,{0,"Baixo","Baixo","Médio";2,"Baixo","Médio","Alto";4,"Médio","Alto","Alto"},MATCH(E55,{1,6,20})+1)),"-"))))))</f>
        <v>-</v>
      </c>
      <c r="G55" s="13" t="str">
        <f>IF(F55="-","-",VLOOKUP(C55,{"ALI",7,10,15;"AIE",5,7,10;"EE",3,4,6;"SE",4,5,7;"CE",3,4,6},MATCH(F55,{"Baixo","Médio","Alto"},0)+1,FALSE))</f>
        <v>-</v>
      </c>
      <c r="H55" s="11" t="s">
        <v>77</v>
      </c>
      <c r="I55" s="15" t="s">
        <v>73</v>
      </c>
      <c r="J55" s="11"/>
      <c r="K55" s="11"/>
      <c r="L55" s="11"/>
      <c r="M55" s="12">
        <f t="shared" si="52"/>
        <v>0</v>
      </c>
      <c r="N55" s="13" t="str">
        <f t="shared" si="53"/>
        <v>-</v>
      </c>
      <c r="O55" s="11"/>
      <c r="P55" s="11"/>
      <c r="Q55" s="11"/>
      <c r="R55" s="12" t="str">
        <f t="shared" si="54"/>
        <v>-</v>
      </c>
      <c r="S55" s="13" t="str">
        <f t="shared" si="55"/>
        <v>-</v>
      </c>
      <c r="T55" s="14">
        <f>IF(AND(H55="Modificar",SUM(J55:R55)=0),0.25,IF(AND(H55="Dados de Código",AND(D55+E55=0,OR(C55="-",C55=""))),0.1,IF(H55="Eliminar",0.4,IF(H55="Perfectiva",0.3,IF(H55="Somente teste",0.15,IF(H55="Teste + Plano",0.2,IF(H55="Criar",1,IF(OR(AND(H55&lt;&gt;"Modificar",H55&lt;&gt;"Dados de Código"),M55="-",S55="-"),"-",IF(OR(I55="ALI",I55="AIE"),IF(LEFT(C55)&lt;&gt;"A","-",IF(AND(SUM(J55:L55)=0,SUM(O55:Q55)=0),IF(C55&lt;&gt;I55,0.4,"-"),IF(H55="Modificar",HLOOKUP(S55,{0,34,68,101;0.25,0.5,0.75,1},2),HLOOKUP(S55,{0,34,68,101;0.25,0.5,0.75,1},2)*0.1))),IF(OR(AND(I55&lt;&gt;"EE",I55&lt;&gt;"SE",I55&lt;&gt;"CE"),N55="-"),"-", IF(H55="Modificar",VLOOKUP(N55,{0,0.25,0.5,0.75;34,0.5,0.75,1;68,0.75,1,1;101,1,1,1},MATCH(S55,{0,68,101})+1),VLOOKUP(N55,{0,0.25,0.5,0.75;34,0.5,0.75,1;68,0.75,1,1;101,1,1,1},MATCH(S55,{0,68,101})+1)*0.1)))))))))))</f>
        <v>1</v>
      </c>
      <c r="U55" s="14" t="str">
        <f>IF(AND(H55="Modificar",D55+E55=0),F55,IF(OR(T55="-",AND(OR(H55="Perfectiva",H55="Somente teste",H55="Teste + Plano"),F55="-",I55=""),AND(H55="Eliminar",AND(C55&lt;&gt;I55,I55&lt;&gt;"-",I55&lt;&gt;""))),"-",IF(AND(H55="Criar",OR(AND(C55&lt;&gt;"",C55&lt;&gt;"-"),F55&lt;&gt;"-",I55="")),"X",IF(AND(A55&lt;&gt;"",H55&lt;&gt;"Eliminar",F55="-",T55&lt;&gt;0,J55+K55+L55+O55+P55+Q55=0),IF(OR(I55="ALI",I55="AIE"),"Baixo","Médio"),IF(AND(OR(M55="-",R55="-"),OR(H55="Criar",F55="-",AND(H55="Eliminar",J55+K55+L55+O55+P55+Q55&lt;&gt;0))),"-",IF(OR(H55="Perfectiva",H55="Eliminar",H55="Somente teste",H55="Teste + Plano"),F55,IF(OR(I55="ALI",I55="AIE"),IF(M55=0,"-",VLOOKUP(M55,{1,"Baixo","Baixo","Médio";2,"Baixo","Médio","Alto";6,"Médio","Alto","Alto"},MATCH(R55,{1,20,51})+1)),IF(I55="EE",VLOOKUP(M55,{0,"Baixo","Baixo","Médio";2,"Baixo","Médio","Alto";3,"Médio","Alto","Alto"},MATCH(R55,{1,5,16})+1),IF(OR(I55="SE",I55="CE"),IF(AND(M55=0,I55="CE"),IF(OR(H55="Perfectiva",H55="Eliminar",H55="Somente teste",H55="Teste + Plano",H55="Modificar"),F55,"-"),VLOOKUP(M55,{0,"Baixo","Baixo","Médio";2,"Baixo","Médio","Alto";4,"Médio","Alto","Alto"},MATCH(R55,{1,6,20})+1)),)))))))))</f>
        <v>Médio</v>
      </c>
      <c r="V55" s="14">
        <f>IF(OR(T55="-",U55="-",OR(AND(OR(I55="-",I55=""),OR(H55="Modificar",H55="Dados de Código")))),"-",IF(H55="Eliminar",G55*T55,IF(AND(OR(H55="Teste + Plano",H55="Somente teste"),F55&lt;&gt;"-"),(G55*0.5)*T55,T55*VLOOKUP(I55,{"ALI",7,10,15;"AIE",5,7,10;"EE",3,4,6;"SE",4,5,7;"CE",3,4,6},MATCH(U55,{"Baixo","Médio","Alto"},0)+1,FALSE))))</f>
        <v>5</v>
      </c>
      <c r="W55" s="15" t="s">
        <v>32</v>
      </c>
      <c r="X55" s="40"/>
      <c r="Y55" s="40"/>
      <c r="Z55" s="40"/>
      <c r="AA55" s="40"/>
      <c r="AB55" s="40"/>
      <c r="AC55" s="40"/>
      <c r="AD55" s="8"/>
      <c r="AE55" s="8"/>
    </row>
    <row r="56" spans="1:31" ht="39.950000000000003" customHeight="1" x14ac:dyDescent="0.2">
      <c r="A56" s="9" t="s">
        <v>137</v>
      </c>
      <c r="B56" s="9" t="s">
        <v>88</v>
      </c>
      <c r="C56" s="10" t="s">
        <v>70</v>
      </c>
      <c r="D56" s="11"/>
      <c r="E56" s="11"/>
      <c r="F56" s="12" t="str">
        <f>IF(OR(TRIM(A56)="",AND(E56=0,D56&lt;&gt;0)),"-",IF(AND(OR(C56="EE",C56="CE",C56="SE"),D56=0,E56=0), "Médio", IF(AND(OR(C56="ALI",C56="AIE"),D56=0,E56=0),"Baixo",IF(OR(C56="ALI",C56="AIE"),IF(D56=0,"-",VLOOKUP(D56,{1,"Baixo","Baixo","Médio";2,"Baixo","Médio","Alto";6,"Médio","Alto","Alto"},MATCH(E56,{1,20,51})+1)),IF(C56="EE",VLOOKUP(D56,{0,"Baixo","Baixo","Médio";2,"Baixo","Médio","Alto";3,"Médio","Alto","Alto"},MATCH(E56,{1,5,16})+1),IF(OR(C56="SE",C56="CE"),IF(AND(D56=0,C56="CE"),"-",VLOOKUP(D56,{0,"Baixo","Baixo","Médio";2,"Baixo","Médio","Alto";4,"Médio","Alto","Alto"},MATCH(E56,{1,6,20})+1)),"-"))))))</f>
        <v>-</v>
      </c>
      <c r="G56" s="13" t="str">
        <f>IF(F56="-","-",VLOOKUP(C56,{"ALI",7,10,15;"AIE",5,7,10;"EE",3,4,6;"SE",4,5,7;"CE",3,4,6},MATCH(F56,{"Baixo","Médio","Alto"},0)+1,FALSE))</f>
        <v>-</v>
      </c>
      <c r="H56" s="11" t="s">
        <v>77</v>
      </c>
      <c r="I56" s="15" t="s">
        <v>73</v>
      </c>
      <c r="J56" s="11"/>
      <c r="K56" s="11"/>
      <c r="L56" s="11"/>
      <c r="M56" s="12">
        <f t="shared" si="52"/>
        <v>0</v>
      </c>
      <c r="N56" s="13" t="str">
        <f t="shared" si="53"/>
        <v>-</v>
      </c>
      <c r="O56" s="11"/>
      <c r="P56" s="11"/>
      <c r="Q56" s="11"/>
      <c r="R56" s="12" t="str">
        <f t="shared" si="54"/>
        <v>-</v>
      </c>
      <c r="S56" s="13" t="str">
        <f t="shared" si="55"/>
        <v>-</v>
      </c>
      <c r="T56" s="14">
        <f>IF(AND(H56="Modificar",SUM(J56:R56)=0),0.25,IF(AND(H56="Dados de Código",AND(D56+E56=0,OR(C56="-",C56=""))),0.1,IF(H56="Eliminar",0.4,IF(H56="Perfectiva",0.3,IF(H56="Somente teste",0.15,IF(H56="Teste + Plano",0.2,IF(H56="Criar",1,IF(OR(AND(H56&lt;&gt;"Modificar",H56&lt;&gt;"Dados de Código"),M56="-",S56="-"),"-",IF(OR(I56="ALI",I56="AIE"),IF(LEFT(C56)&lt;&gt;"A","-",IF(AND(SUM(J56:L56)=0,SUM(O56:Q56)=0),IF(C56&lt;&gt;I56,0.4,"-"),IF(H56="Modificar",HLOOKUP(S56,{0,34,68,101;0.25,0.5,0.75,1},2),HLOOKUP(S56,{0,34,68,101;0.25,0.5,0.75,1},2)*0.1))),IF(OR(AND(I56&lt;&gt;"EE",I56&lt;&gt;"SE",I56&lt;&gt;"CE"),N56="-"),"-", IF(H56="Modificar",VLOOKUP(N56,{0,0.25,0.5,0.75;34,0.5,0.75,1;68,0.75,1,1;101,1,1,1},MATCH(S56,{0,68,101})+1),VLOOKUP(N56,{0,0.25,0.5,0.75;34,0.5,0.75,1;68,0.75,1,1;101,1,1,1},MATCH(S56,{0,68,101})+1)*0.1)))))))))))</f>
        <v>1</v>
      </c>
      <c r="U56" s="14" t="str">
        <f>IF(AND(H56="Modificar",D56+E56=0),F56,IF(OR(T56="-",AND(OR(H56="Perfectiva",H56="Somente teste",H56="Teste + Plano"),F56="-",I56=""),AND(H56="Eliminar",AND(C56&lt;&gt;I56,I56&lt;&gt;"-",I56&lt;&gt;""))),"-",IF(AND(H56="Criar",OR(AND(C56&lt;&gt;"",C56&lt;&gt;"-"),F56&lt;&gt;"-",I56="")),"X",IF(AND(A56&lt;&gt;"",H56&lt;&gt;"Eliminar",F56="-",T56&lt;&gt;0,J56+K56+L56+O56+P56+Q56=0),IF(OR(I56="ALI",I56="AIE"),"Baixo","Médio"),IF(AND(OR(M56="-",R56="-"),OR(H56="Criar",F56="-",AND(H56="Eliminar",J56+K56+L56+O56+P56+Q56&lt;&gt;0))),"-",IF(OR(H56="Perfectiva",H56="Eliminar",H56="Somente teste",H56="Teste + Plano"),F56,IF(OR(I56="ALI",I56="AIE"),IF(M56=0,"-",VLOOKUP(M56,{1,"Baixo","Baixo","Médio";2,"Baixo","Médio","Alto";6,"Médio","Alto","Alto"},MATCH(R56,{1,20,51})+1)),IF(I56="EE",VLOOKUP(M56,{0,"Baixo","Baixo","Médio";2,"Baixo","Médio","Alto";3,"Médio","Alto","Alto"},MATCH(R56,{1,5,16})+1),IF(OR(I56="SE",I56="CE"),IF(AND(M56=0,I56="CE"),IF(OR(H56="Perfectiva",H56="Eliminar",H56="Somente teste",H56="Teste + Plano",H56="Modificar"),F56,"-"),VLOOKUP(M56,{0,"Baixo","Baixo","Médio";2,"Baixo","Médio","Alto";4,"Médio","Alto","Alto"},MATCH(R56,{1,6,20})+1)),)))))))))</f>
        <v>Médio</v>
      </c>
      <c r="V56" s="14">
        <f>IF(OR(T56="-",U56="-",OR(AND(OR(I56="-",I56=""),OR(H56="Modificar",H56="Dados de Código")))),"-",IF(H56="Eliminar",G56*T56,IF(AND(OR(H56="Teste + Plano",H56="Somente teste"),F56&lt;&gt;"-"),(G56*0.5)*T56,T56*VLOOKUP(I56,{"ALI",7,10,15;"AIE",5,7,10;"EE",3,4,6;"SE",4,5,7;"CE",3,4,6},MATCH(U56,{"Baixo","Médio","Alto"},0)+1,FALSE))))</f>
        <v>5</v>
      </c>
      <c r="W56" s="15" t="s">
        <v>32</v>
      </c>
      <c r="X56" s="40"/>
      <c r="Y56" s="40"/>
      <c r="Z56" s="40"/>
      <c r="AA56" s="40"/>
      <c r="AB56" s="40"/>
      <c r="AC56" s="40"/>
      <c r="AD56" s="8"/>
      <c r="AE56" s="8"/>
    </row>
    <row r="57" spans="1:31" ht="39.950000000000003" customHeight="1" x14ac:dyDescent="0.2">
      <c r="A57" s="9" t="s">
        <v>138</v>
      </c>
      <c r="B57" s="9" t="s">
        <v>88</v>
      </c>
      <c r="C57" s="10" t="s">
        <v>70</v>
      </c>
      <c r="D57" s="11"/>
      <c r="E57" s="11"/>
      <c r="F57" s="12" t="str">
        <f>IF(OR(TRIM(A57)="",AND(E57=0,D57&lt;&gt;0)),"-",IF(AND(OR(C57="EE",C57="CE",C57="SE"),D57=0,E57=0), "Médio", IF(AND(OR(C57="ALI",C57="AIE"),D57=0,E57=0),"Baixo",IF(OR(C57="ALI",C57="AIE"),IF(D57=0,"-",VLOOKUP(D57,{1,"Baixo","Baixo","Médio";2,"Baixo","Médio","Alto";6,"Médio","Alto","Alto"},MATCH(E57,{1,20,51})+1)),IF(C57="EE",VLOOKUP(D57,{0,"Baixo","Baixo","Médio";2,"Baixo","Médio","Alto";3,"Médio","Alto","Alto"},MATCH(E57,{1,5,16})+1),IF(OR(C57="SE",C57="CE"),IF(AND(D57=0,C57="CE"),"-",VLOOKUP(D57,{0,"Baixo","Baixo","Médio";2,"Baixo","Médio","Alto";4,"Médio","Alto","Alto"},MATCH(E57,{1,6,20})+1)),"-"))))))</f>
        <v>-</v>
      </c>
      <c r="G57" s="13" t="str">
        <f>IF(F57="-","-",VLOOKUP(C57,{"ALI",7,10,15;"AIE",5,7,10;"EE",3,4,6;"SE",4,5,7;"CE",3,4,6},MATCH(F57,{"Baixo","Médio","Alto"},0)+1,FALSE))</f>
        <v>-</v>
      </c>
      <c r="H57" s="11" t="s">
        <v>77</v>
      </c>
      <c r="I57" s="15" t="s">
        <v>73</v>
      </c>
      <c r="J57" s="11"/>
      <c r="K57" s="11"/>
      <c r="L57" s="11"/>
      <c r="M57" s="12">
        <f t="shared" si="52"/>
        <v>0</v>
      </c>
      <c r="N57" s="13" t="str">
        <f t="shared" si="53"/>
        <v>-</v>
      </c>
      <c r="O57" s="11"/>
      <c r="P57" s="11"/>
      <c r="Q57" s="11"/>
      <c r="R57" s="12" t="str">
        <f t="shared" si="54"/>
        <v>-</v>
      </c>
      <c r="S57" s="13" t="str">
        <f t="shared" si="55"/>
        <v>-</v>
      </c>
      <c r="T57" s="14">
        <f>IF(AND(H57="Modificar",SUM(J57:R57)=0),0.25,IF(AND(H57="Dados de Código",AND(D57+E57=0,OR(C57="-",C57=""))),0.1,IF(H57="Eliminar",0.4,IF(H57="Perfectiva",0.3,IF(H57="Somente teste",0.15,IF(H57="Teste + Plano",0.2,IF(H57="Criar",1,IF(OR(AND(H57&lt;&gt;"Modificar",H57&lt;&gt;"Dados de Código"),M57="-",S57="-"),"-",IF(OR(I57="ALI",I57="AIE"),IF(LEFT(C57)&lt;&gt;"A","-",IF(AND(SUM(J57:L57)=0,SUM(O57:Q57)=0),IF(C57&lt;&gt;I57,0.4,"-"),IF(H57="Modificar",HLOOKUP(S57,{0,34,68,101;0.25,0.5,0.75,1},2),HLOOKUP(S57,{0,34,68,101;0.25,0.5,0.75,1},2)*0.1))),IF(OR(AND(I57&lt;&gt;"EE",I57&lt;&gt;"SE",I57&lt;&gt;"CE"),N57="-"),"-", IF(H57="Modificar",VLOOKUP(N57,{0,0.25,0.5,0.75;34,0.5,0.75,1;68,0.75,1,1;101,1,1,1},MATCH(S57,{0,68,101})+1),VLOOKUP(N57,{0,0.25,0.5,0.75;34,0.5,0.75,1;68,0.75,1,1;101,1,1,1},MATCH(S57,{0,68,101})+1)*0.1)))))))))))</f>
        <v>1</v>
      </c>
      <c r="U57" s="14" t="str">
        <f>IF(AND(H57="Modificar",D57+E57=0),F57,IF(OR(T57="-",AND(OR(H57="Perfectiva",H57="Somente teste",H57="Teste + Plano"),F57="-",I57=""),AND(H57="Eliminar",AND(C57&lt;&gt;I57,I57&lt;&gt;"-",I57&lt;&gt;""))),"-",IF(AND(H57="Criar",OR(AND(C57&lt;&gt;"",C57&lt;&gt;"-"),F57&lt;&gt;"-",I57="")),"X",IF(AND(A57&lt;&gt;"",H57&lt;&gt;"Eliminar",F57="-",T57&lt;&gt;0,J57+K57+L57+O57+P57+Q57=0),IF(OR(I57="ALI",I57="AIE"),"Baixo","Médio"),IF(AND(OR(M57="-",R57="-"),OR(H57="Criar",F57="-",AND(H57="Eliminar",J57+K57+L57+O57+P57+Q57&lt;&gt;0))),"-",IF(OR(H57="Perfectiva",H57="Eliminar",H57="Somente teste",H57="Teste + Plano"),F57,IF(OR(I57="ALI",I57="AIE"),IF(M57=0,"-",VLOOKUP(M57,{1,"Baixo","Baixo","Médio";2,"Baixo","Médio","Alto";6,"Médio","Alto","Alto"},MATCH(R57,{1,20,51})+1)),IF(I57="EE",VLOOKUP(M57,{0,"Baixo","Baixo","Médio";2,"Baixo","Médio","Alto";3,"Médio","Alto","Alto"},MATCH(R57,{1,5,16})+1),IF(OR(I57="SE",I57="CE"),IF(AND(M57=0,I57="CE"),IF(OR(H57="Perfectiva",H57="Eliminar",H57="Somente teste",H57="Teste + Plano",H57="Modificar"),F57,"-"),VLOOKUP(M57,{0,"Baixo","Baixo","Médio";2,"Baixo","Médio","Alto";4,"Médio","Alto","Alto"},MATCH(R57,{1,6,20})+1)),)))))))))</f>
        <v>Médio</v>
      </c>
      <c r="V57" s="14">
        <f>IF(OR(T57="-",U57="-",OR(AND(OR(I57="-",I57=""),OR(H57="Modificar",H57="Dados de Código")))),"-",IF(H57="Eliminar",G57*T57,IF(AND(OR(H57="Teste + Plano",H57="Somente teste"),F57&lt;&gt;"-"),(G57*0.5)*T57,T57*VLOOKUP(I57,{"ALI",7,10,15;"AIE",5,7,10;"EE",3,4,6;"SE",4,5,7;"CE",3,4,6},MATCH(U57,{"Baixo","Médio","Alto"},0)+1,FALSE))))</f>
        <v>5</v>
      </c>
      <c r="W57" s="15" t="s">
        <v>32</v>
      </c>
      <c r="X57" s="40"/>
      <c r="Y57" s="40"/>
      <c r="Z57" s="40"/>
      <c r="AA57" s="40"/>
      <c r="AB57" s="40"/>
      <c r="AC57" s="40"/>
      <c r="AD57" s="8"/>
      <c r="AE57" s="8"/>
    </row>
    <row r="58" spans="1:31" ht="39.950000000000003" customHeight="1" x14ac:dyDescent="0.2">
      <c r="A58" s="9" t="s">
        <v>139</v>
      </c>
      <c r="B58" s="9" t="s">
        <v>88</v>
      </c>
      <c r="C58" s="10" t="s">
        <v>70</v>
      </c>
      <c r="D58" s="11"/>
      <c r="E58" s="11"/>
      <c r="F58" s="12" t="str">
        <f>IF(OR(TRIM(A58)="",AND(E58=0,D58&lt;&gt;0)),"-",IF(AND(OR(C58="EE",C58="CE",C58="SE"),D58=0,E58=0), "Médio", IF(AND(OR(C58="ALI",C58="AIE"),D58=0,E58=0),"Baixo",IF(OR(C58="ALI",C58="AIE"),IF(D58=0,"-",VLOOKUP(D58,{1,"Baixo","Baixo","Médio";2,"Baixo","Médio","Alto";6,"Médio","Alto","Alto"},MATCH(E58,{1,20,51})+1)),IF(C58="EE",VLOOKUP(D58,{0,"Baixo","Baixo","Médio";2,"Baixo","Médio","Alto";3,"Médio","Alto","Alto"},MATCH(E58,{1,5,16})+1),IF(OR(C58="SE",C58="CE"),IF(AND(D58=0,C58="CE"),"-",VLOOKUP(D58,{0,"Baixo","Baixo","Médio";2,"Baixo","Médio","Alto";4,"Médio","Alto","Alto"},MATCH(E58,{1,6,20})+1)),"-"))))))</f>
        <v>-</v>
      </c>
      <c r="G58" s="13" t="str">
        <f>IF(F58="-","-",VLOOKUP(C58,{"ALI",7,10,15;"AIE",5,7,10;"EE",3,4,6;"SE",4,5,7;"CE",3,4,6},MATCH(F58,{"Baixo","Médio","Alto"},0)+1,FALSE))</f>
        <v>-</v>
      </c>
      <c r="H58" s="11" t="s">
        <v>77</v>
      </c>
      <c r="I58" s="15" t="s">
        <v>73</v>
      </c>
      <c r="J58" s="11"/>
      <c r="K58" s="11"/>
      <c r="L58" s="11"/>
      <c r="M58" s="12">
        <f t="shared" si="52"/>
        <v>0</v>
      </c>
      <c r="N58" s="13" t="str">
        <f t="shared" si="53"/>
        <v>-</v>
      </c>
      <c r="O58" s="11"/>
      <c r="P58" s="11"/>
      <c r="Q58" s="11"/>
      <c r="R58" s="12" t="str">
        <f t="shared" si="54"/>
        <v>-</v>
      </c>
      <c r="S58" s="13" t="str">
        <f t="shared" si="55"/>
        <v>-</v>
      </c>
      <c r="T58" s="14">
        <f>IF(AND(H58="Modificar",SUM(J58:R58)=0),0.25,IF(AND(H58="Dados de Código",AND(D58+E58=0,OR(C58="-",C58=""))),0.1,IF(H58="Eliminar",0.4,IF(H58="Perfectiva",0.3,IF(H58="Somente teste",0.15,IF(H58="Teste + Plano",0.2,IF(H58="Criar",1,IF(OR(AND(H58&lt;&gt;"Modificar",H58&lt;&gt;"Dados de Código"),M58="-",S58="-"),"-",IF(OR(I58="ALI",I58="AIE"),IF(LEFT(C58)&lt;&gt;"A","-",IF(AND(SUM(J58:L58)=0,SUM(O58:Q58)=0),IF(C58&lt;&gt;I58,0.4,"-"),IF(H58="Modificar",HLOOKUP(S58,{0,34,68,101;0.25,0.5,0.75,1},2),HLOOKUP(S58,{0,34,68,101;0.25,0.5,0.75,1},2)*0.1))),IF(OR(AND(I58&lt;&gt;"EE",I58&lt;&gt;"SE",I58&lt;&gt;"CE"),N58="-"),"-", IF(H58="Modificar",VLOOKUP(N58,{0,0.25,0.5,0.75;34,0.5,0.75,1;68,0.75,1,1;101,1,1,1},MATCH(S58,{0,68,101})+1),VLOOKUP(N58,{0,0.25,0.5,0.75;34,0.5,0.75,1;68,0.75,1,1;101,1,1,1},MATCH(S58,{0,68,101})+1)*0.1)))))))))))</f>
        <v>1</v>
      </c>
      <c r="U58" s="14" t="str">
        <f>IF(AND(H58="Modificar",D58+E58=0),F58,IF(OR(T58="-",AND(OR(H58="Perfectiva",H58="Somente teste",H58="Teste + Plano"),F58="-",I58=""),AND(H58="Eliminar",AND(C58&lt;&gt;I58,I58&lt;&gt;"-",I58&lt;&gt;""))),"-",IF(AND(H58="Criar",OR(AND(C58&lt;&gt;"",C58&lt;&gt;"-"),F58&lt;&gt;"-",I58="")),"X",IF(AND(A58&lt;&gt;"",H58&lt;&gt;"Eliminar",F58="-",T58&lt;&gt;0,J58+K58+L58+O58+P58+Q58=0),IF(OR(I58="ALI",I58="AIE"),"Baixo","Médio"),IF(AND(OR(M58="-",R58="-"),OR(H58="Criar",F58="-",AND(H58="Eliminar",J58+K58+L58+O58+P58+Q58&lt;&gt;0))),"-",IF(OR(H58="Perfectiva",H58="Eliminar",H58="Somente teste",H58="Teste + Plano"),F58,IF(OR(I58="ALI",I58="AIE"),IF(M58=0,"-",VLOOKUP(M58,{1,"Baixo","Baixo","Médio";2,"Baixo","Médio","Alto";6,"Médio","Alto","Alto"},MATCH(R58,{1,20,51})+1)),IF(I58="EE",VLOOKUP(M58,{0,"Baixo","Baixo","Médio";2,"Baixo","Médio","Alto";3,"Médio","Alto","Alto"},MATCH(R58,{1,5,16})+1),IF(OR(I58="SE",I58="CE"),IF(AND(M58=0,I58="CE"),IF(OR(H58="Perfectiva",H58="Eliminar",H58="Somente teste",H58="Teste + Plano",H58="Modificar"),F58,"-"),VLOOKUP(M58,{0,"Baixo","Baixo","Médio";2,"Baixo","Médio","Alto";4,"Médio","Alto","Alto"},MATCH(R58,{1,6,20})+1)),)))))))))</f>
        <v>Médio</v>
      </c>
      <c r="V58" s="14">
        <f>IF(OR(T58="-",U58="-",OR(AND(OR(I58="-",I58=""),OR(H58="Modificar",H58="Dados de Código")))),"-",IF(H58="Eliminar",G58*T58,IF(AND(OR(H58="Teste + Plano",H58="Somente teste"),F58&lt;&gt;"-"),(G58*0.5)*T58,T58*VLOOKUP(I58,{"ALI",7,10,15;"AIE",5,7,10;"EE",3,4,6;"SE",4,5,7;"CE",3,4,6},MATCH(U58,{"Baixo","Médio","Alto"},0)+1,FALSE))))</f>
        <v>5</v>
      </c>
      <c r="W58" s="15" t="s">
        <v>32</v>
      </c>
      <c r="X58" s="40"/>
      <c r="Y58" s="40"/>
      <c r="Z58" s="40"/>
      <c r="AA58" s="40"/>
      <c r="AB58" s="40"/>
      <c r="AC58" s="40"/>
      <c r="AD58" s="8"/>
      <c r="AE58" s="8"/>
    </row>
    <row r="59" spans="1:31" ht="39.950000000000003" customHeight="1" x14ac:dyDescent="0.2">
      <c r="A59" s="9" t="s">
        <v>140</v>
      </c>
      <c r="B59" s="9" t="s">
        <v>88</v>
      </c>
      <c r="C59" s="10" t="s">
        <v>70</v>
      </c>
      <c r="D59" s="11"/>
      <c r="E59" s="11"/>
      <c r="F59" s="12" t="str">
        <f>IF(OR(TRIM(A59)="",AND(E59=0,D59&lt;&gt;0)),"-",IF(AND(OR(C59="EE",C59="CE",C59="SE"),D59=0,E59=0), "Médio", IF(AND(OR(C59="ALI",C59="AIE"),D59=0,E59=0),"Baixo",IF(OR(C59="ALI",C59="AIE"),IF(D59=0,"-",VLOOKUP(D59,{1,"Baixo","Baixo","Médio";2,"Baixo","Médio","Alto";6,"Médio","Alto","Alto"},MATCH(E59,{1,20,51})+1)),IF(C59="EE",VLOOKUP(D59,{0,"Baixo","Baixo","Médio";2,"Baixo","Médio","Alto";3,"Médio","Alto","Alto"},MATCH(E59,{1,5,16})+1),IF(OR(C59="SE",C59="CE"),IF(AND(D59=0,C59="CE"),"-",VLOOKUP(D59,{0,"Baixo","Baixo","Médio";2,"Baixo","Médio","Alto";4,"Médio","Alto","Alto"},MATCH(E59,{1,6,20})+1)),"-"))))))</f>
        <v>-</v>
      </c>
      <c r="G59" s="13" t="str">
        <f>IF(F59="-","-",VLOOKUP(C59,{"ALI",7,10,15;"AIE",5,7,10;"EE",3,4,6;"SE",4,5,7;"CE",3,4,6},MATCH(F59,{"Baixo","Médio","Alto"},0)+1,FALSE))</f>
        <v>-</v>
      </c>
      <c r="H59" s="11" t="s">
        <v>77</v>
      </c>
      <c r="I59" s="15" t="s">
        <v>73</v>
      </c>
      <c r="J59" s="11"/>
      <c r="K59" s="11"/>
      <c r="L59" s="11"/>
      <c r="M59" s="12">
        <f t="shared" si="52"/>
        <v>0</v>
      </c>
      <c r="N59" s="13" t="str">
        <f t="shared" si="53"/>
        <v>-</v>
      </c>
      <c r="O59" s="11"/>
      <c r="P59" s="11"/>
      <c r="Q59" s="11"/>
      <c r="R59" s="12" t="str">
        <f t="shared" si="54"/>
        <v>-</v>
      </c>
      <c r="S59" s="13" t="str">
        <f t="shared" si="55"/>
        <v>-</v>
      </c>
      <c r="T59" s="14">
        <f>IF(AND(H59="Modificar",SUM(J59:R59)=0),0.25,IF(AND(H59="Dados de Código",AND(D59+E59=0,OR(C59="-",C59=""))),0.1,IF(H59="Eliminar",0.4,IF(H59="Perfectiva",0.3,IF(H59="Somente teste",0.15,IF(H59="Teste + Plano",0.2,IF(H59="Criar",1,IF(OR(AND(H59&lt;&gt;"Modificar",H59&lt;&gt;"Dados de Código"),M59="-",S59="-"),"-",IF(OR(I59="ALI",I59="AIE"),IF(LEFT(C59)&lt;&gt;"A","-",IF(AND(SUM(J59:L59)=0,SUM(O59:Q59)=0),IF(C59&lt;&gt;I59,0.4,"-"),IF(H59="Modificar",HLOOKUP(S59,{0,34,68,101;0.25,0.5,0.75,1},2),HLOOKUP(S59,{0,34,68,101;0.25,0.5,0.75,1},2)*0.1))),IF(OR(AND(I59&lt;&gt;"EE",I59&lt;&gt;"SE",I59&lt;&gt;"CE"),N59="-"),"-", IF(H59="Modificar",VLOOKUP(N59,{0,0.25,0.5,0.75;34,0.5,0.75,1;68,0.75,1,1;101,1,1,1},MATCH(S59,{0,68,101})+1),VLOOKUP(N59,{0,0.25,0.5,0.75;34,0.5,0.75,1;68,0.75,1,1;101,1,1,1},MATCH(S59,{0,68,101})+1)*0.1)))))))))))</f>
        <v>1</v>
      </c>
      <c r="U59" s="14" t="str">
        <f>IF(AND(H59="Modificar",D59+E59=0),F59,IF(OR(T59="-",AND(OR(H59="Perfectiva",H59="Somente teste",H59="Teste + Plano"),F59="-",I59=""),AND(H59="Eliminar",AND(C59&lt;&gt;I59,I59&lt;&gt;"-",I59&lt;&gt;""))),"-",IF(AND(H59="Criar",OR(AND(C59&lt;&gt;"",C59&lt;&gt;"-"),F59&lt;&gt;"-",I59="")),"X",IF(AND(A59&lt;&gt;"",H59&lt;&gt;"Eliminar",F59="-",T59&lt;&gt;0,J59+K59+L59+O59+P59+Q59=0),IF(OR(I59="ALI",I59="AIE"),"Baixo","Médio"),IF(AND(OR(M59="-",R59="-"),OR(H59="Criar",F59="-",AND(H59="Eliminar",J59+K59+L59+O59+P59+Q59&lt;&gt;0))),"-",IF(OR(H59="Perfectiva",H59="Eliminar",H59="Somente teste",H59="Teste + Plano"),F59,IF(OR(I59="ALI",I59="AIE"),IF(M59=0,"-",VLOOKUP(M59,{1,"Baixo","Baixo","Médio";2,"Baixo","Médio","Alto";6,"Médio","Alto","Alto"},MATCH(R59,{1,20,51})+1)),IF(I59="EE",VLOOKUP(M59,{0,"Baixo","Baixo","Médio";2,"Baixo","Médio","Alto";3,"Médio","Alto","Alto"},MATCH(R59,{1,5,16})+1),IF(OR(I59="SE",I59="CE"),IF(AND(M59=0,I59="CE"),IF(OR(H59="Perfectiva",H59="Eliminar",H59="Somente teste",H59="Teste + Plano",H59="Modificar"),F59,"-"),VLOOKUP(M59,{0,"Baixo","Baixo","Médio";2,"Baixo","Médio","Alto";4,"Médio","Alto","Alto"},MATCH(R59,{1,6,20})+1)),)))))))))</f>
        <v>Médio</v>
      </c>
      <c r="V59" s="14">
        <f>IF(OR(T59="-",U59="-",OR(AND(OR(I59="-",I59=""),OR(H59="Modificar",H59="Dados de Código")))),"-",IF(H59="Eliminar",G59*T59,IF(AND(OR(H59="Teste + Plano",H59="Somente teste"),F59&lt;&gt;"-"),(G59*0.5)*T59,T59*VLOOKUP(I59,{"ALI",7,10,15;"AIE",5,7,10;"EE",3,4,6;"SE",4,5,7;"CE",3,4,6},MATCH(U59,{"Baixo","Médio","Alto"},0)+1,FALSE))))</f>
        <v>5</v>
      </c>
      <c r="W59" s="15" t="s">
        <v>32</v>
      </c>
      <c r="X59" s="40"/>
      <c r="Y59" s="40"/>
      <c r="Z59" s="40"/>
      <c r="AA59" s="40"/>
      <c r="AB59" s="40"/>
      <c r="AC59" s="40"/>
      <c r="AD59" s="8"/>
      <c r="AE59" s="8"/>
    </row>
    <row r="60" spans="1:31" ht="39.950000000000003" customHeight="1" x14ac:dyDescent="0.2">
      <c r="A60" s="9" t="s">
        <v>141</v>
      </c>
      <c r="B60" s="9" t="s">
        <v>88</v>
      </c>
      <c r="C60" s="10" t="s">
        <v>70</v>
      </c>
      <c r="D60" s="11"/>
      <c r="E60" s="11"/>
      <c r="F60" s="12" t="str">
        <f>IF(OR(TRIM(A60)="",AND(E60=0,D60&lt;&gt;0)),"-",IF(AND(OR(C60="EE",C60="CE",C60="SE"),D60=0,E60=0), "Médio", IF(AND(OR(C60="ALI",C60="AIE"),D60=0,E60=0),"Baixo",IF(OR(C60="ALI",C60="AIE"),IF(D60=0,"-",VLOOKUP(D60,{1,"Baixo","Baixo","Médio";2,"Baixo","Médio","Alto";6,"Médio","Alto","Alto"},MATCH(E60,{1,20,51})+1)),IF(C60="EE",VLOOKUP(D60,{0,"Baixo","Baixo","Médio";2,"Baixo","Médio","Alto";3,"Médio","Alto","Alto"},MATCH(E60,{1,5,16})+1),IF(OR(C60="SE",C60="CE"),IF(AND(D60=0,C60="CE"),"-",VLOOKUP(D60,{0,"Baixo","Baixo","Médio";2,"Baixo","Médio","Alto";4,"Médio","Alto","Alto"},MATCH(E60,{1,6,20})+1)),"-"))))))</f>
        <v>-</v>
      </c>
      <c r="G60" s="13" t="str">
        <f>IF(F60="-","-",VLOOKUP(C60,{"ALI",7,10,15;"AIE",5,7,10;"EE",3,4,6;"SE",4,5,7;"CE",3,4,6},MATCH(F60,{"Baixo","Médio","Alto"},0)+1,FALSE))</f>
        <v>-</v>
      </c>
      <c r="H60" s="11" t="s">
        <v>77</v>
      </c>
      <c r="I60" s="15" t="s">
        <v>73</v>
      </c>
      <c r="J60" s="11"/>
      <c r="K60" s="11"/>
      <c r="L60" s="11"/>
      <c r="M60" s="12">
        <f t="shared" si="52"/>
        <v>0</v>
      </c>
      <c r="N60" s="13" t="str">
        <f t="shared" si="53"/>
        <v>-</v>
      </c>
      <c r="O60" s="11"/>
      <c r="P60" s="11"/>
      <c r="Q60" s="11"/>
      <c r="R60" s="12" t="str">
        <f t="shared" si="54"/>
        <v>-</v>
      </c>
      <c r="S60" s="13" t="str">
        <f t="shared" si="55"/>
        <v>-</v>
      </c>
      <c r="T60" s="14">
        <f>IF(AND(H60="Modificar",SUM(J60:R60)=0),0.25,IF(AND(H60="Dados de Código",AND(D60+E60=0,OR(C60="-",C60=""))),0.1,IF(H60="Eliminar",0.4,IF(H60="Perfectiva",0.3,IF(H60="Somente teste",0.15,IF(H60="Teste + Plano",0.2,IF(H60="Criar",1,IF(OR(AND(H60&lt;&gt;"Modificar",H60&lt;&gt;"Dados de Código"),M60="-",S60="-"),"-",IF(OR(I60="ALI",I60="AIE"),IF(LEFT(C60)&lt;&gt;"A","-",IF(AND(SUM(J60:L60)=0,SUM(O60:Q60)=0),IF(C60&lt;&gt;I60,0.4,"-"),IF(H60="Modificar",HLOOKUP(S60,{0,34,68,101;0.25,0.5,0.75,1},2),HLOOKUP(S60,{0,34,68,101;0.25,0.5,0.75,1},2)*0.1))),IF(OR(AND(I60&lt;&gt;"EE",I60&lt;&gt;"SE",I60&lt;&gt;"CE"),N60="-"),"-", IF(H60="Modificar",VLOOKUP(N60,{0,0.25,0.5,0.75;34,0.5,0.75,1;68,0.75,1,1;101,1,1,1},MATCH(S60,{0,68,101})+1),VLOOKUP(N60,{0,0.25,0.5,0.75;34,0.5,0.75,1;68,0.75,1,1;101,1,1,1},MATCH(S60,{0,68,101})+1)*0.1)))))))))))</f>
        <v>1</v>
      </c>
      <c r="U60" s="14" t="str">
        <f>IF(AND(H60="Modificar",D60+E60=0),F60,IF(OR(T60="-",AND(OR(H60="Perfectiva",H60="Somente teste",H60="Teste + Plano"),F60="-",I60=""),AND(H60="Eliminar",AND(C60&lt;&gt;I60,I60&lt;&gt;"-",I60&lt;&gt;""))),"-",IF(AND(H60="Criar",OR(AND(C60&lt;&gt;"",C60&lt;&gt;"-"),F60&lt;&gt;"-",I60="")),"X",IF(AND(A60&lt;&gt;"",H60&lt;&gt;"Eliminar",F60="-",T60&lt;&gt;0,J60+K60+L60+O60+P60+Q60=0),IF(OR(I60="ALI",I60="AIE"),"Baixo","Médio"),IF(AND(OR(M60="-",R60="-"),OR(H60="Criar",F60="-",AND(H60="Eliminar",J60+K60+L60+O60+P60+Q60&lt;&gt;0))),"-",IF(OR(H60="Perfectiva",H60="Eliminar",H60="Somente teste",H60="Teste + Plano"),F60,IF(OR(I60="ALI",I60="AIE"),IF(M60=0,"-",VLOOKUP(M60,{1,"Baixo","Baixo","Médio";2,"Baixo","Médio","Alto";6,"Médio","Alto","Alto"},MATCH(R60,{1,20,51})+1)),IF(I60="EE",VLOOKUP(M60,{0,"Baixo","Baixo","Médio";2,"Baixo","Médio","Alto";3,"Médio","Alto","Alto"},MATCH(R60,{1,5,16})+1),IF(OR(I60="SE",I60="CE"),IF(AND(M60=0,I60="CE"),IF(OR(H60="Perfectiva",H60="Eliminar",H60="Somente teste",H60="Teste + Plano",H60="Modificar"),F60,"-"),VLOOKUP(M60,{0,"Baixo","Baixo","Médio";2,"Baixo","Médio","Alto";4,"Médio","Alto","Alto"},MATCH(R60,{1,6,20})+1)),)))))))))</f>
        <v>Médio</v>
      </c>
      <c r="V60" s="14">
        <f>IF(OR(T60="-",U60="-",OR(AND(OR(I60="-",I60=""),OR(H60="Modificar",H60="Dados de Código")))),"-",IF(H60="Eliminar",G60*T60,IF(AND(OR(H60="Teste + Plano",H60="Somente teste"),F60&lt;&gt;"-"),(G60*0.5)*T60,T60*VLOOKUP(I60,{"ALI",7,10,15;"AIE",5,7,10;"EE",3,4,6;"SE",4,5,7;"CE",3,4,6},MATCH(U60,{"Baixo","Médio","Alto"},0)+1,FALSE))))</f>
        <v>5</v>
      </c>
      <c r="W60" s="15" t="s">
        <v>32</v>
      </c>
      <c r="X60" s="40"/>
      <c r="Y60" s="40"/>
      <c r="Z60" s="40"/>
      <c r="AA60" s="40"/>
      <c r="AB60" s="40"/>
      <c r="AC60" s="40"/>
      <c r="AD60" s="8"/>
      <c r="AE60" s="8"/>
    </row>
    <row r="61" spans="1:31" ht="39.950000000000003" customHeight="1" x14ac:dyDescent="0.2">
      <c r="A61" s="9" t="s">
        <v>142</v>
      </c>
      <c r="B61" s="9" t="s">
        <v>88</v>
      </c>
      <c r="C61" s="10" t="s">
        <v>70</v>
      </c>
      <c r="D61" s="11"/>
      <c r="E61" s="11"/>
      <c r="F61" s="12" t="str">
        <f>IF(OR(TRIM(A61)="",AND(E61=0,D61&lt;&gt;0)),"-",IF(AND(OR(C61="EE",C61="CE",C61="SE"),D61=0,E61=0), "Médio", IF(AND(OR(C61="ALI",C61="AIE"),D61=0,E61=0),"Baixo",IF(OR(C61="ALI",C61="AIE"),IF(D61=0,"-",VLOOKUP(D61,{1,"Baixo","Baixo","Médio";2,"Baixo","Médio","Alto";6,"Médio","Alto","Alto"},MATCH(E61,{1,20,51})+1)),IF(C61="EE",VLOOKUP(D61,{0,"Baixo","Baixo","Médio";2,"Baixo","Médio","Alto";3,"Médio","Alto","Alto"},MATCH(E61,{1,5,16})+1),IF(OR(C61="SE",C61="CE"),IF(AND(D61=0,C61="CE"),"-",VLOOKUP(D61,{0,"Baixo","Baixo","Médio";2,"Baixo","Médio","Alto";4,"Médio","Alto","Alto"},MATCH(E61,{1,6,20})+1)),"-"))))))</f>
        <v>-</v>
      </c>
      <c r="G61" s="13" t="str">
        <f>IF(F61="-","-",VLOOKUP(C61,{"ALI",7,10,15;"AIE",5,7,10;"EE",3,4,6;"SE",4,5,7;"CE",3,4,6},MATCH(F61,{"Baixo","Médio","Alto"},0)+1,FALSE))</f>
        <v>-</v>
      </c>
      <c r="H61" s="11" t="s">
        <v>77</v>
      </c>
      <c r="I61" s="15" t="s">
        <v>73</v>
      </c>
      <c r="J61" s="11"/>
      <c r="K61" s="11"/>
      <c r="L61" s="11"/>
      <c r="M61" s="12">
        <f t="shared" si="52"/>
        <v>0</v>
      </c>
      <c r="N61" s="13" t="str">
        <f t="shared" si="53"/>
        <v>-</v>
      </c>
      <c r="O61" s="11"/>
      <c r="P61" s="11"/>
      <c r="Q61" s="11"/>
      <c r="R61" s="12" t="str">
        <f t="shared" si="54"/>
        <v>-</v>
      </c>
      <c r="S61" s="13" t="str">
        <f t="shared" si="55"/>
        <v>-</v>
      </c>
      <c r="T61" s="14">
        <f>IF(AND(H61="Modificar",SUM(J61:R61)=0),0.25,IF(AND(H61="Dados de Código",AND(D61+E61=0,OR(C61="-",C61=""))),0.1,IF(H61="Eliminar",0.4,IF(H61="Perfectiva",0.3,IF(H61="Somente teste",0.15,IF(H61="Teste + Plano",0.2,IF(H61="Criar",1,IF(OR(AND(H61&lt;&gt;"Modificar",H61&lt;&gt;"Dados de Código"),M61="-",S61="-"),"-",IF(OR(I61="ALI",I61="AIE"),IF(LEFT(C61)&lt;&gt;"A","-",IF(AND(SUM(J61:L61)=0,SUM(O61:Q61)=0),IF(C61&lt;&gt;I61,0.4,"-"),IF(H61="Modificar",HLOOKUP(S61,{0,34,68,101;0.25,0.5,0.75,1},2),HLOOKUP(S61,{0,34,68,101;0.25,0.5,0.75,1},2)*0.1))),IF(OR(AND(I61&lt;&gt;"EE",I61&lt;&gt;"SE",I61&lt;&gt;"CE"),N61="-"),"-", IF(H61="Modificar",VLOOKUP(N61,{0,0.25,0.5,0.75;34,0.5,0.75,1;68,0.75,1,1;101,1,1,1},MATCH(S61,{0,68,101})+1),VLOOKUP(N61,{0,0.25,0.5,0.75;34,0.5,0.75,1;68,0.75,1,1;101,1,1,1},MATCH(S61,{0,68,101})+1)*0.1)))))))))))</f>
        <v>1</v>
      </c>
      <c r="U61" s="14" t="str">
        <f>IF(AND(H61="Modificar",D61+E61=0),F61,IF(OR(T61="-",AND(OR(H61="Perfectiva",H61="Somente teste",H61="Teste + Plano"),F61="-",I61=""),AND(H61="Eliminar",AND(C61&lt;&gt;I61,I61&lt;&gt;"-",I61&lt;&gt;""))),"-",IF(AND(H61="Criar",OR(AND(C61&lt;&gt;"",C61&lt;&gt;"-"),F61&lt;&gt;"-",I61="")),"X",IF(AND(A61&lt;&gt;"",H61&lt;&gt;"Eliminar",F61="-",T61&lt;&gt;0,J61+K61+L61+O61+P61+Q61=0),IF(OR(I61="ALI",I61="AIE"),"Baixo","Médio"),IF(AND(OR(M61="-",R61="-"),OR(H61="Criar",F61="-",AND(H61="Eliminar",J61+K61+L61+O61+P61+Q61&lt;&gt;0))),"-",IF(OR(H61="Perfectiva",H61="Eliminar",H61="Somente teste",H61="Teste + Plano"),F61,IF(OR(I61="ALI",I61="AIE"),IF(M61=0,"-",VLOOKUP(M61,{1,"Baixo","Baixo","Médio";2,"Baixo","Médio","Alto";6,"Médio","Alto","Alto"},MATCH(R61,{1,20,51})+1)),IF(I61="EE",VLOOKUP(M61,{0,"Baixo","Baixo","Médio";2,"Baixo","Médio","Alto";3,"Médio","Alto","Alto"},MATCH(R61,{1,5,16})+1),IF(OR(I61="SE",I61="CE"),IF(AND(M61=0,I61="CE"),IF(OR(H61="Perfectiva",H61="Eliminar",H61="Somente teste",H61="Teste + Plano",H61="Modificar"),F61,"-"),VLOOKUP(M61,{0,"Baixo","Baixo","Médio";2,"Baixo","Médio","Alto";4,"Médio","Alto","Alto"},MATCH(R61,{1,6,20})+1)),)))))))))</f>
        <v>Médio</v>
      </c>
      <c r="V61" s="14">
        <f>IF(OR(T61="-",U61="-",OR(AND(OR(I61="-",I61=""),OR(H61="Modificar",H61="Dados de Código")))),"-",IF(H61="Eliminar",G61*T61,IF(AND(OR(H61="Teste + Plano",H61="Somente teste"),F61&lt;&gt;"-"),(G61*0.5)*T61,T61*VLOOKUP(I61,{"ALI",7,10,15;"AIE",5,7,10;"EE",3,4,6;"SE",4,5,7;"CE",3,4,6},MATCH(U61,{"Baixo","Médio","Alto"},0)+1,FALSE))))</f>
        <v>5</v>
      </c>
      <c r="W61" s="15" t="s">
        <v>32</v>
      </c>
      <c r="X61" s="40"/>
      <c r="Y61" s="40"/>
      <c r="Z61" s="40"/>
      <c r="AA61" s="40"/>
      <c r="AB61" s="40"/>
      <c r="AC61" s="40"/>
      <c r="AD61" s="8"/>
      <c r="AE61" s="8"/>
    </row>
    <row r="62" spans="1:31" ht="39.950000000000003" customHeight="1" x14ac:dyDescent="0.2">
      <c r="A62" s="9" t="s">
        <v>143</v>
      </c>
      <c r="B62" s="9" t="s">
        <v>88</v>
      </c>
      <c r="C62" s="10" t="s">
        <v>70</v>
      </c>
      <c r="D62" s="11"/>
      <c r="E62" s="11"/>
      <c r="F62" s="12" t="str">
        <f>IF(OR(TRIM(A62)="",AND(E62=0,D62&lt;&gt;0)),"-",IF(AND(OR(C62="EE",C62="CE",C62="SE"),D62=0,E62=0), "Médio", IF(AND(OR(C62="ALI",C62="AIE"),D62=0,E62=0),"Baixo",IF(OR(C62="ALI",C62="AIE"),IF(D62=0,"-",VLOOKUP(D62,{1,"Baixo","Baixo","Médio";2,"Baixo","Médio","Alto";6,"Médio","Alto","Alto"},MATCH(E62,{1,20,51})+1)),IF(C62="EE",VLOOKUP(D62,{0,"Baixo","Baixo","Médio";2,"Baixo","Médio","Alto";3,"Médio","Alto","Alto"},MATCH(E62,{1,5,16})+1),IF(OR(C62="SE",C62="CE"),IF(AND(D62=0,C62="CE"),"-",VLOOKUP(D62,{0,"Baixo","Baixo","Médio";2,"Baixo","Médio","Alto";4,"Médio","Alto","Alto"},MATCH(E62,{1,6,20})+1)),"-"))))))</f>
        <v>-</v>
      </c>
      <c r="G62" s="13" t="str">
        <f>IF(F62="-","-",VLOOKUP(C62,{"ALI",7,10,15;"AIE",5,7,10;"EE",3,4,6;"SE",4,5,7;"CE",3,4,6},MATCH(F62,{"Baixo","Médio","Alto"},0)+1,FALSE))</f>
        <v>-</v>
      </c>
      <c r="H62" s="11" t="s">
        <v>77</v>
      </c>
      <c r="I62" s="15" t="s">
        <v>73</v>
      </c>
      <c r="J62" s="11"/>
      <c r="K62" s="11"/>
      <c r="L62" s="11"/>
      <c r="M62" s="12">
        <f t="shared" si="52"/>
        <v>0</v>
      </c>
      <c r="N62" s="13" t="str">
        <f t="shared" si="53"/>
        <v>-</v>
      </c>
      <c r="O62" s="11"/>
      <c r="P62" s="11"/>
      <c r="Q62" s="11"/>
      <c r="R62" s="12" t="str">
        <f t="shared" si="54"/>
        <v>-</v>
      </c>
      <c r="S62" s="13" t="str">
        <f t="shared" si="55"/>
        <v>-</v>
      </c>
      <c r="T62" s="14">
        <f>IF(AND(H62="Modificar",SUM(J62:R62)=0),0.25,IF(AND(H62="Dados de Código",AND(D62+E62=0,OR(C62="-",C62=""))),0.1,IF(H62="Eliminar",0.4,IF(H62="Perfectiva",0.3,IF(H62="Somente teste",0.15,IF(H62="Teste + Plano",0.2,IF(H62="Criar",1,IF(OR(AND(H62&lt;&gt;"Modificar",H62&lt;&gt;"Dados de Código"),M62="-",S62="-"),"-",IF(OR(I62="ALI",I62="AIE"),IF(LEFT(C62)&lt;&gt;"A","-",IF(AND(SUM(J62:L62)=0,SUM(O62:Q62)=0),IF(C62&lt;&gt;I62,0.4,"-"),IF(H62="Modificar",HLOOKUP(S62,{0,34,68,101;0.25,0.5,0.75,1},2),HLOOKUP(S62,{0,34,68,101;0.25,0.5,0.75,1},2)*0.1))),IF(OR(AND(I62&lt;&gt;"EE",I62&lt;&gt;"SE",I62&lt;&gt;"CE"),N62="-"),"-", IF(H62="Modificar",VLOOKUP(N62,{0,0.25,0.5,0.75;34,0.5,0.75,1;68,0.75,1,1;101,1,1,1},MATCH(S62,{0,68,101})+1),VLOOKUP(N62,{0,0.25,0.5,0.75;34,0.5,0.75,1;68,0.75,1,1;101,1,1,1},MATCH(S62,{0,68,101})+1)*0.1)))))))))))</f>
        <v>1</v>
      </c>
      <c r="U62" s="14" t="str">
        <f>IF(AND(H62="Modificar",D62+E62=0),F62,IF(OR(T62="-",AND(OR(H62="Perfectiva",H62="Somente teste",H62="Teste + Plano"),F62="-",I62=""),AND(H62="Eliminar",AND(C62&lt;&gt;I62,I62&lt;&gt;"-",I62&lt;&gt;""))),"-",IF(AND(H62="Criar",OR(AND(C62&lt;&gt;"",C62&lt;&gt;"-"),F62&lt;&gt;"-",I62="")),"X",IF(AND(A62&lt;&gt;"",H62&lt;&gt;"Eliminar",F62="-",T62&lt;&gt;0,J62+K62+L62+O62+P62+Q62=0),IF(OR(I62="ALI",I62="AIE"),"Baixo","Médio"),IF(AND(OR(M62="-",R62="-"),OR(H62="Criar",F62="-",AND(H62="Eliminar",J62+K62+L62+O62+P62+Q62&lt;&gt;0))),"-",IF(OR(H62="Perfectiva",H62="Eliminar",H62="Somente teste",H62="Teste + Plano"),F62,IF(OR(I62="ALI",I62="AIE"),IF(M62=0,"-",VLOOKUP(M62,{1,"Baixo","Baixo","Médio";2,"Baixo","Médio","Alto";6,"Médio","Alto","Alto"},MATCH(R62,{1,20,51})+1)),IF(I62="EE",VLOOKUP(M62,{0,"Baixo","Baixo","Médio";2,"Baixo","Médio","Alto";3,"Médio","Alto","Alto"},MATCH(R62,{1,5,16})+1),IF(OR(I62="SE",I62="CE"),IF(AND(M62=0,I62="CE"),IF(OR(H62="Perfectiva",H62="Eliminar",H62="Somente teste",H62="Teste + Plano",H62="Modificar"),F62,"-"),VLOOKUP(M62,{0,"Baixo","Baixo","Médio";2,"Baixo","Médio","Alto";4,"Médio","Alto","Alto"},MATCH(R62,{1,6,20})+1)),)))))))))</f>
        <v>Médio</v>
      </c>
      <c r="V62" s="14">
        <f>IF(OR(T62="-",U62="-",OR(AND(OR(I62="-",I62=""),OR(H62="Modificar",H62="Dados de Código")))),"-",IF(H62="Eliminar",G62*T62,IF(AND(OR(H62="Teste + Plano",H62="Somente teste"),F62&lt;&gt;"-"),(G62*0.5)*T62,T62*VLOOKUP(I62,{"ALI",7,10,15;"AIE",5,7,10;"EE",3,4,6;"SE",4,5,7;"CE",3,4,6},MATCH(U62,{"Baixo","Médio","Alto"},0)+1,FALSE))))</f>
        <v>5</v>
      </c>
      <c r="W62" s="15" t="s">
        <v>32</v>
      </c>
      <c r="X62" s="40"/>
      <c r="Y62" s="40"/>
      <c r="Z62" s="40"/>
      <c r="AA62" s="40"/>
      <c r="AB62" s="40"/>
      <c r="AC62" s="40"/>
      <c r="AD62" s="8"/>
      <c r="AE62" s="8"/>
    </row>
    <row r="63" spans="1:31" ht="39.950000000000003" customHeight="1" x14ac:dyDescent="0.2">
      <c r="A63" s="9" t="s">
        <v>144</v>
      </c>
      <c r="B63" s="9" t="s">
        <v>88</v>
      </c>
      <c r="C63" s="10" t="s">
        <v>70</v>
      </c>
      <c r="D63" s="11"/>
      <c r="E63" s="11"/>
      <c r="F63" s="12" t="str">
        <f>IF(OR(TRIM(A63)="",AND(E63=0,D63&lt;&gt;0)),"-",IF(AND(OR(C63="EE",C63="CE",C63="SE"),D63=0,E63=0), "Médio", IF(AND(OR(C63="ALI",C63="AIE"),D63=0,E63=0),"Baixo",IF(OR(C63="ALI",C63="AIE"),IF(D63=0,"-",VLOOKUP(D63,{1,"Baixo","Baixo","Médio";2,"Baixo","Médio","Alto";6,"Médio","Alto","Alto"},MATCH(E63,{1,20,51})+1)),IF(C63="EE",VLOOKUP(D63,{0,"Baixo","Baixo","Médio";2,"Baixo","Médio","Alto";3,"Médio","Alto","Alto"},MATCH(E63,{1,5,16})+1),IF(OR(C63="SE",C63="CE"),IF(AND(D63=0,C63="CE"),"-",VLOOKUP(D63,{0,"Baixo","Baixo","Médio";2,"Baixo","Médio","Alto";4,"Médio","Alto","Alto"},MATCH(E63,{1,6,20})+1)),"-"))))))</f>
        <v>-</v>
      </c>
      <c r="G63" s="13" t="str">
        <f>IF(F63="-","-",VLOOKUP(C63,{"ALI",7,10,15;"AIE",5,7,10;"EE",3,4,6;"SE",4,5,7;"CE",3,4,6},MATCH(F63,{"Baixo","Médio","Alto"},0)+1,FALSE))</f>
        <v>-</v>
      </c>
      <c r="H63" s="11" t="s">
        <v>77</v>
      </c>
      <c r="I63" s="15" t="s">
        <v>73</v>
      </c>
      <c r="J63" s="11"/>
      <c r="K63" s="11"/>
      <c r="L63" s="11"/>
      <c r="M63" s="12">
        <f t="shared" si="52"/>
        <v>0</v>
      </c>
      <c r="N63" s="13" t="str">
        <f t="shared" si="53"/>
        <v>-</v>
      </c>
      <c r="O63" s="11"/>
      <c r="P63" s="11"/>
      <c r="Q63" s="11"/>
      <c r="R63" s="12" t="str">
        <f t="shared" si="54"/>
        <v>-</v>
      </c>
      <c r="S63" s="13" t="str">
        <f t="shared" si="55"/>
        <v>-</v>
      </c>
      <c r="T63" s="14">
        <f>IF(AND(H63="Modificar",SUM(J63:R63)=0),0.25,IF(AND(H63="Dados de Código",AND(D63+E63=0,OR(C63="-",C63=""))),0.1,IF(H63="Eliminar",0.4,IF(H63="Perfectiva",0.3,IF(H63="Somente teste",0.15,IF(H63="Teste + Plano",0.2,IF(H63="Criar",1,IF(OR(AND(H63&lt;&gt;"Modificar",H63&lt;&gt;"Dados de Código"),M63="-",S63="-"),"-",IF(OR(I63="ALI",I63="AIE"),IF(LEFT(C63)&lt;&gt;"A","-",IF(AND(SUM(J63:L63)=0,SUM(O63:Q63)=0),IF(C63&lt;&gt;I63,0.4,"-"),IF(H63="Modificar",HLOOKUP(S63,{0,34,68,101;0.25,0.5,0.75,1},2),HLOOKUP(S63,{0,34,68,101;0.25,0.5,0.75,1},2)*0.1))),IF(OR(AND(I63&lt;&gt;"EE",I63&lt;&gt;"SE",I63&lt;&gt;"CE"),N63="-"),"-", IF(H63="Modificar",VLOOKUP(N63,{0,0.25,0.5,0.75;34,0.5,0.75,1;68,0.75,1,1;101,1,1,1},MATCH(S63,{0,68,101})+1),VLOOKUP(N63,{0,0.25,0.5,0.75;34,0.5,0.75,1;68,0.75,1,1;101,1,1,1},MATCH(S63,{0,68,101})+1)*0.1)))))))))))</f>
        <v>1</v>
      </c>
      <c r="U63" s="14" t="str">
        <f>IF(AND(H63="Modificar",D63+E63=0),F63,IF(OR(T63="-",AND(OR(H63="Perfectiva",H63="Somente teste",H63="Teste + Plano"),F63="-",I63=""),AND(H63="Eliminar",AND(C63&lt;&gt;I63,I63&lt;&gt;"-",I63&lt;&gt;""))),"-",IF(AND(H63="Criar",OR(AND(C63&lt;&gt;"",C63&lt;&gt;"-"),F63&lt;&gt;"-",I63="")),"X",IF(AND(A63&lt;&gt;"",H63&lt;&gt;"Eliminar",F63="-",T63&lt;&gt;0,J63+K63+L63+O63+P63+Q63=0),IF(OR(I63="ALI",I63="AIE"),"Baixo","Médio"),IF(AND(OR(M63="-",R63="-"),OR(H63="Criar",F63="-",AND(H63="Eliminar",J63+K63+L63+O63+P63+Q63&lt;&gt;0))),"-",IF(OR(H63="Perfectiva",H63="Eliminar",H63="Somente teste",H63="Teste + Plano"),F63,IF(OR(I63="ALI",I63="AIE"),IF(M63=0,"-",VLOOKUP(M63,{1,"Baixo","Baixo","Médio";2,"Baixo","Médio","Alto";6,"Médio","Alto","Alto"},MATCH(R63,{1,20,51})+1)),IF(I63="EE",VLOOKUP(M63,{0,"Baixo","Baixo","Médio";2,"Baixo","Médio","Alto";3,"Médio","Alto","Alto"},MATCH(R63,{1,5,16})+1),IF(OR(I63="SE",I63="CE"),IF(AND(M63=0,I63="CE"),IF(OR(H63="Perfectiva",H63="Eliminar",H63="Somente teste",H63="Teste + Plano",H63="Modificar"),F63,"-"),VLOOKUP(M63,{0,"Baixo","Baixo","Médio";2,"Baixo","Médio","Alto";4,"Médio","Alto","Alto"},MATCH(R63,{1,6,20})+1)),)))))))))</f>
        <v>Médio</v>
      </c>
      <c r="V63" s="14">
        <f>IF(OR(T63="-",U63="-",OR(AND(OR(I63="-",I63=""),OR(H63="Modificar",H63="Dados de Código")))),"-",IF(H63="Eliminar",G63*T63,IF(AND(OR(H63="Teste + Plano",H63="Somente teste"),F63&lt;&gt;"-"),(G63*0.5)*T63,T63*VLOOKUP(I63,{"ALI",7,10,15;"AIE",5,7,10;"EE",3,4,6;"SE",4,5,7;"CE",3,4,6},MATCH(U63,{"Baixo","Médio","Alto"},0)+1,FALSE))))</f>
        <v>5</v>
      </c>
      <c r="W63" s="15" t="s">
        <v>32</v>
      </c>
      <c r="X63" s="40"/>
      <c r="Y63" s="40"/>
      <c r="Z63" s="40"/>
      <c r="AA63" s="40"/>
      <c r="AB63" s="40"/>
      <c r="AC63" s="40"/>
      <c r="AD63" s="8"/>
      <c r="AE63" s="8"/>
    </row>
    <row r="64" spans="1:31" ht="39.950000000000003" customHeight="1" x14ac:dyDescent="0.2">
      <c r="A64" s="9" t="s">
        <v>145</v>
      </c>
      <c r="B64" s="9" t="s">
        <v>88</v>
      </c>
      <c r="C64" s="10" t="s">
        <v>70</v>
      </c>
      <c r="D64" s="11"/>
      <c r="E64" s="11"/>
      <c r="F64" s="12" t="str">
        <f>IF(OR(TRIM(A64)="",AND(E64=0,D64&lt;&gt;0)),"-",IF(AND(OR(C64="EE",C64="CE",C64="SE"),D64=0,E64=0), "Médio", IF(AND(OR(C64="ALI",C64="AIE"),D64=0,E64=0),"Baixo",IF(OR(C64="ALI",C64="AIE"),IF(D64=0,"-",VLOOKUP(D64,{1,"Baixo","Baixo","Médio";2,"Baixo","Médio","Alto";6,"Médio","Alto","Alto"},MATCH(E64,{1,20,51})+1)),IF(C64="EE",VLOOKUP(D64,{0,"Baixo","Baixo","Médio";2,"Baixo","Médio","Alto";3,"Médio","Alto","Alto"},MATCH(E64,{1,5,16})+1),IF(OR(C64="SE",C64="CE"),IF(AND(D64=0,C64="CE"),"-",VLOOKUP(D64,{0,"Baixo","Baixo","Médio";2,"Baixo","Médio","Alto";4,"Médio","Alto","Alto"},MATCH(E64,{1,6,20})+1)),"-"))))))</f>
        <v>-</v>
      </c>
      <c r="G64" s="13" t="str">
        <f>IF(F64="-","-",VLOOKUP(C64,{"ALI",7,10,15;"AIE",5,7,10;"EE",3,4,6;"SE",4,5,7;"CE",3,4,6},MATCH(F64,{"Baixo","Médio","Alto"},0)+1,FALSE))</f>
        <v>-</v>
      </c>
      <c r="H64" s="11" t="s">
        <v>77</v>
      </c>
      <c r="I64" s="15" t="s">
        <v>73</v>
      </c>
      <c r="J64" s="11"/>
      <c r="K64" s="11"/>
      <c r="L64" s="11"/>
      <c r="M64" s="12">
        <f t="shared" si="52"/>
        <v>0</v>
      </c>
      <c r="N64" s="13" t="str">
        <f t="shared" si="53"/>
        <v>-</v>
      </c>
      <c r="O64" s="11"/>
      <c r="P64" s="11"/>
      <c r="Q64" s="11"/>
      <c r="R64" s="12" t="str">
        <f t="shared" si="54"/>
        <v>-</v>
      </c>
      <c r="S64" s="13" t="str">
        <f t="shared" si="55"/>
        <v>-</v>
      </c>
      <c r="T64" s="14">
        <f>IF(AND(H64="Modificar",SUM(J64:R64)=0),0.25,IF(AND(H64="Dados de Código",AND(D64+E64=0,OR(C64="-",C64=""))),0.1,IF(H64="Eliminar",0.4,IF(H64="Perfectiva",0.3,IF(H64="Somente teste",0.15,IF(H64="Teste + Plano",0.2,IF(H64="Criar",1,IF(OR(AND(H64&lt;&gt;"Modificar",H64&lt;&gt;"Dados de Código"),M64="-",S64="-"),"-",IF(OR(I64="ALI",I64="AIE"),IF(LEFT(C64)&lt;&gt;"A","-",IF(AND(SUM(J64:L64)=0,SUM(O64:Q64)=0),IF(C64&lt;&gt;I64,0.4,"-"),IF(H64="Modificar",HLOOKUP(S64,{0,34,68,101;0.25,0.5,0.75,1},2),HLOOKUP(S64,{0,34,68,101;0.25,0.5,0.75,1},2)*0.1))),IF(OR(AND(I64&lt;&gt;"EE",I64&lt;&gt;"SE",I64&lt;&gt;"CE"),N64="-"),"-", IF(H64="Modificar",VLOOKUP(N64,{0,0.25,0.5,0.75;34,0.5,0.75,1;68,0.75,1,1;101,1,1,1},MATCH(S64,{0,68,101})+1),VLOOKUP(N64,{0,0.25,0.5,0.75;34,0.5,0.75,1;68,0.75,1,1;101,1,1,1},MATCH(S64,{0,68,101})+1)*0.1)))))))))))</f>
        <v>1</v>
      </c>
      <c r="U64" s="14" t="str">
        <f>IF(AND(H64="Modificar",D64+E64=0),F64,IF(OR(T64="-",AND(OR(H64="Perfectiva",H64="Somente teste",H64="Teste + Plano"),F64="-",I64=""),AND(H64="Eliminar",AND(C64&lt;&gt;I64,I64&lt;&gt;"-",I64&lt;&gt;""))),"-",IF(AND(H64="Criar",OR(AND(C64&lt;&gt;"",C64&lt;&gt;"-"),F64&lt;&gt;"-",I64="")),"X",IF(AND(A64&lt;&gt;"",H64&lt;&gt;"Eliminar",F64="-",T64&lt;&gt;0,J64+K64+L64+O64+P64+Q64=0),IF(OR(I64="ALI",I64="AIE"),"Baixo","Médio"),IF(AND(OR(M64="-",R64="-"),OR(H64="Criar",F64="-",AND(H64="Eliminar",J64+K64+L64+O64+P64+Q64&lt;&gt;0))),"-",IF(OR(H64="Perfectiva",H64="Eliminar",H64="Somente teste",H64="Teste + Plano"),F64,IF(OR(I64="ALI",I64="AIE"),IF(M64=0,"-",VLOOKUP(M64,{1,"Baixo","Baixo","Médio";2,"Baixo","Médio","Alto";6,"Médio","Alto","Alto"},MATCH(R64,{1,20,51})+1)),IF(I64="EE",VLOOKUP(M64,{0,"Baixo","Baixo","Médio";2,"Baixo","Médio","Alto";3,"Médio","Alto","Alto"},MATCH(R64,{1,5,16})+1),IF(OR(I64="SE",I64="CE"),IF(AND(M64=0,I64="CE"),IF(OR(H64="Perfectiva",H64="Eliminar",H64="Somente teste",H64="Teste + Plano",H64="Modificar"),F64,"-"),VLOOKUP(M64,{0,"Baixo","Baixo","Médio";2,"Baixo","Médio","Alto";4,"Médio","Alto","Alto"},MATCH(R64,{1,6,20})+1)),)))))))))</f>
        <v>Médio</v>
      </c>
      <c r="V64" s="14">
        <f>IF(OR(T64="-",U64="-",OR(AND(OR(I64="-",I64=""),OR(H64="Modificar",H64="Dados de Código")))),"-",IF(H64="Eliminar",G64*T64,IF(AND(OR(H64="Teste + Plano",H64="Somente teste"),F64&lt;&gt;"-"),(G64*0.5)*T64,T64*VLOOKUP(I64,{"ALI",7,10,15;"AIE",5,7,10;"EE",3,4,6;"SE",4,5,7;"CE",3,4,6},MATCH(U64,{"Baixo","Médio","Alto"},0)+1,FALSE))))</f>
        <v>5</v>
      </c>
      <c r="W64" s="15" t="s">
        <v>32</v>
      </c>
      <c r="X64" s="40"/>
      <c r="Y64" s="40"/>
      <c r="Z64" s="40"/>
      <c r="AA64" s="40"/>
      <c r="AB64" s="40"/>
      <c r="AC64" s="40"/>
      <c r="AD64" s="8"/>
      <c r="AE64" s="8"/>
    </row>
    <row r="65" spans="1:31" ht="39.950000000000003" customHeight="1" x14ac:dyDescent="0.2">
      <c r="A65" s="9" t="s">
        <v>146</v>
      </c>
      <c r="B65" s="9" t="s">
        <v>88</v>
      </c>
      <c r="C65" s="10" t="s">
        <v>70</v>
      </c>
      <c r="D65" s="11"/>
      <c r="E65" s="11"/>
      <c r="F65" s="12" t="str">
        <f>IF(OR(TRIM(A65)="",AND(E65=0,D65&lt;&gt;0)),"-",IF(AND(OR(C65="EE",C65="CE",C65="SE"),D65=0,E65=0), "Médio", IF(AND(OR(C65="ALI",C65="AIE"),D65=0,E65=0),"Baixo",IF(OR(C65="ALI",C65="AIE"),IF(D65=0,"-",VLOOKUP(D65,{1,"Baixo","Baixo","Médio";2,"Baixo","Médio","Alto";6,"Médio","Alto","Alto"},MATCH(E65,{1,20,51})+1)),IF(C65="EE",VLOOKUP(D65,{0,"Baixo","Baixo","Médio";2,"Baixo","Médio","Alto";3,"Médio","Alto","Alto"},MATCH(E65,{1,5,16})+1),IF(OR(C65="SE",C65="CE"),IF(AND(D65=0,C65="CE"),"-",VLOOKUP(D65,{0,"Baixo","Baixo","Médio";2,"Baixo","Médio","Alto";4,"Médio","Alto","Alto"},MATCH(E65,{1,6,20})+1)),"-"))))))</f>
        <v>-</v>
      </c>
      <c r="G65" s="13" t="str">
        <f>IF(F65="-","-",VLOOKUP(C65,{"ALI",7,10,15;"AIE",5,7,10;"EE",3,4,6;"SE",4,5,7;"CE",3,4,6},MATCH(F65,{"Baixo","Médio","Alto"},0)+1,FALSE))</f>
        <v>-</v>
      </c>
      <c r="H65" s="11" t="s">
        <v>77</v>
      </c>
      <c r="I65" s="15" t="s">
        <v>73</v>
      </c>
      <c r="J65" s="11"/>
      <c r="K65" s="11"/>
      <c r="L65" s="11"/>
      <c r="M65" s="12">
        <f t="shared" si="52"/>
        <v>0</v>
      </c>
      <c r="N65" s="13" t="str">
        <f t="shared" si="53"/>
        <v>-</v>
      </c>
      <c r="O65" s="11"/>
      <c r="P65" s="11"/>
      <c r="Q65" s="11"/>
      <c r="R65" s="12" t="str">
        <f t="shared" si="54"/>
        <v>-</v>
      </c>
      <c r="S65" s="13" t="str">
        <f t="shared" si="55"/>
        <v>-</v>
      </c>
      <c r="T65" s="14">
        <f>IF(AND(H65="Modificar",SUM(J65:R65)=0),0.25,IF(AND(H65="Dados de Código",AND(D65+E65=0,OR(C65="-",C65=""))),0.1,IF(H65="Eliminar",0.4,IF(H65="Perfectiva",0.3,IF(H65="Somente teste",0.15,IF(H65="Teste + Plano",0.2,IF(H65="Criar",1,IF(OR(AND(H65&lt;&gt;"Modificar",H65&lt;&gt;"Dados de Código"),M65="-",S65="-"),"-",IF(OR(I65="ALI",I65="AIE"),IF(LEFT(C65)&lt;&gt;"A","-",IF(AND(SUM(J65:L65)=0,SUM(O65:Q65)=0),IF(C65&lt;&gt;I65,0.4,"-"),IF(H65="Modificar",HLOOKUP(S65,{0,34,68,101;0.25,0.5,0.75,1},2),HLOOKUP(S65,{0,34,68,101;0.25,0.5,0.75,1},2)*0.1))),IF(OR(AND(I65&lt;&gt;"EE",I65&lt;&gt;"SE",I65&lt;&gt;"CE"),N65="-"),"-", IF(H65="Modificar",VLOOKUP(N65,{0,0.25,0.5,0.75;34,0.5,0.75,1;68,0.75,1,1;101,1,1,1},MATCH(S65,{0,68,101})+1),VLOOKUP(N65,{0,0.25,0.5,0.75;34,0.5,0.75,1;68,0.75,1,1;101,1,1,1},MATCH(S65,{0,68,101})+1)*0.1)))))))))))</f>
        <v>1</v>
      </c>
      <c r="U65" s="14" t="str">
        <f>IF(AND(H65="Modificar",D65+E65=0),F65,IF(OR(T65="-",AND(OR(H65="Perfectiva",H65="Somente teste",H65="Teste + Plano"),F65="-",I65=""),AND(H65="Eliminar",AND(C65&lt;&gt;I65,I65&lt;&gt;"-",I65&lt;&gt;""))),"-",IF(AND(H65="Criar",OR(AND(C65&lt;&gt;"",C65&lt;&gt;"-"),F65&lt;&gt;"-",I65="")),"X",IF(AND(A65&lt;&gt;"",H65&lt;&gt;"Eliminar",F65="-",T65&lt;&gt;0,J65+K65+L65+O65+P65+Q65=0),IF(OR(I65="ALI",I65="AIE"),"Baixo","Médio"),IF(AND(OR(M65="-",R65="-"),OR(H65="Criar",F65="-",AND(H65="Eliminar",J65+K65+L65+O65+P65+Q65&lt;&gt;0))),"-",IF(OR(H65="Perfectiva",H65="Eliminar",H65="Somente teste",H65="Teste + Plano"),F65,IF(OR(I65="ALI",I65="AIE"),IF(M65=0,"-",VLOOKUP(M65,{1,"Baixo","Baixo","Médio";2,"Baixo","Médio","Alto";6,"Médio","Alto","Alto"},MATCH(R65,{1,20,51})+1)),IF(I65="EE",VLOOKUP(M65,{0,"Baixo","Baixo","Médio";2,"Baixo","Médio","Alto";3,"Médio","Alto","Alto"},MATCH(R65,{1,5,16})+1),IF(OR(I65="SE",I65="CE"),IF(AND(M65=0,I65="CE"),IF(OR(H65="Perfectiva",H65="Eliminar",H65="Somente teste",H65="Teste + Plano",H65="Modificar"),F65,"-"),VLOOKUP(M65,{0,"Baixo","Baixo","Médio";2,"Baixo","Médio","Alto";4,"Médio","Alto","Alto"},MATCH(R65,{1,6,20})+1)),)))))))))</f>
        <v>Médio</v>
      </c>
      <c r="V65" s="14">
        <f>IF(OR(T65="-",U65="-",OR(AND(OR(I65="-",I65=""),OR(H65="Modificar",H65="Dados de Código")))),"-",IF(H65="Eliminar",G65*T65,IF(AND(OR(H65="Teste + Plano",H65="Somente teste"),F65&lt;&gt;"-"),(G65*0.5)*T65,T65*VLOOKUP(I65,{"ALI",7,10,15;"AIE",5,7,10;"EE",3,4,6;"SE",4,5,7;"CE",3,4,6},MATCH(U65,{"Baixo","Médio","Alto"},0)+1,FALSE))))</f>
        <v>5</v>
      </c>
      <c r="W65" s="15" t="s">
        <v>32</v>
      </c>
      <c r="X65" s="40"/>
      <c r="Y65" s="40"/>
      <c r="Z65" s="40"/>
      <c r="AA65" s="40"/>
      <c r="AB65" s="40"/>
      <c r="AC65" s="40"/>
      <c r="AD65" s="8"/>
      <c r="AE65" s="8"/>
    </row>
    <row r="66" spans="1:31" ht="39.950000000000003" customHeight="1" x14ac:dyDescent="0.2">
      <c r="A66" s="9" t="s">
        <v>147</v>
      </c>
      <c r="B66" s="9" t="s">
        <v>88</v>
      </c>
      <c r="C66" s="10" t="s">
        <v>70</v>
      </c>
      <c r="D66" s="11"/>
      <c r="E66" s="11"/>
      <c r="F66" s="12" t="str">
        <f>IF(OR(TRIM(A66)="",AND(E66=0,D66&lt;&gt;0)),"-",IF(AND(OR(C66="EE",C66="CE",C66="SE"),D66=0,E66=0), "Médio", IF(AND(OR(C66="ALI",C66="AIE"),D66=0,E66=0),"Baixo",IF(OR(C66="ALI",C66="AIE"),IF(D66=0,"-",VLOOKUP(D66,{1,"Baixo","Baixo","Médio";2,"Baixo","Médio","Alto";6,"Médio","Alto","Alto"},MATCH(E66,{1,20,51})+1)),IF(C66="EE",VLOOKUP(D66,{0,"Baixo","Baixo","Médio";2,"Baixo","Médio","Alto";3,"Médio","Alto","Alto"},MATCH(E66,{1,5,16})+1),IF(OR(C66="SE",C66="CE"),IF(AND(D66=0,C66="CE"),"-",VLOOKUP(D66,{0,"Baixo","Baixo","Médio";2,"Baixo","Médio","Alto";4,"Médio","Alto","Alto"},MATCH(E66,{1,6,20})+1)),"-"))))))</f>
        <v>-</v>
      </c>
      <c r="G66" s="13" t="str">
        <f>IF(F66="-","-",VLOOKUP(C66,{"ALI",7,10,15;"AIE",5,7,10;"EE",3,4,6;"SE",4,5,7;"CE",3,4,6},MATCH(F66,{"Baixo","Médio","Alto"},0)+1,FALSE))</f>
        <v>-</v>
      </c>
      <c r="H66" s="11" t="s">
        <v>77</v>
      </c>
      <c r="I66" s="15" t="s">
        <v>73</v>
      </c>
      <c r="J66" s="11"/>
      <c r="K66" s="11"/>
      <c r="L66" s="11"/>
      <c r="M66" s="12">
        <f t="shared" si="52"/>
        <v>0</v>
      </c>
      <c r="N66" s="13" t="str">
        <f t="shared" si="53"/>
        <v>-</v>
      </c>
      <c r="O66" s="11"/>
      <c r="P66" s="11"/>
      <c r="Q66" s="11"/>
      <c r="R66" s="12" t="str">
        <f t="shared" si="54"/>
        <v>-</v>
      </c>
      <c r="S66" s="13" t="str">
        <f t="shared" si="55"/>
        <v>-</v>
      </c>
      <c r="T66" s="14">
        <f>IF(AND(H66="Modificar",SUM(J66:R66)=0),0.25,IF(AND(H66="Dados de Código",AND(D66+E66=0,OR(C66="-",C66=""))),0.1,IF(H66="Eliminar",0.4,IF(H66="Perfectiva",0.3,IF(H66="Somente teste",0.15,IF(H66="Teste + Plano",0.2,IF(H66="Criar",1,IF(OR(AND(H66&lt;&gt;"Modificar",H66&lt;&gt;"Dados de Código"),M66="-",S66="-"),"-",IF(OR(I66="ALI",I66="AIE"),IF(LEFT(C66)&lt;&gt;"A","-",IF(AND(SUM(J66:L66)=0,SUM(O66:Q66)=0),IF(C66&lt;&gt;I66,0.4,"-"),IF(H66="Modificar",HLOOKUP(S66,{0,34,68,101;0.25,0.5,0.75,1},2),HLOOKUP(S66,{0,34,68,101;0.25,0.5,0.75,1},2)*0.1))),IF(OR(AND(I66&lt;&gt;"EE",I66&lt;&gt;"SE",I66&lt;&gt;"CE"),N66="-"),"-", IF(H66="Modificar",VLOOKUP(N66,{0,0.25,0.5,0.75;34,0.5,0.75,1;68,0.75,1,1;101,1,1,1},MATCH(S66,{0,68,101})+1),VLOOKUP(N66,{0,0.25,0.5,0.75;34,0.5,0.75,1;68,0.75,1,1;101,1,1,1},MATCH(S66,{0,68,101})+1)*0.1)))))))))))</f>
        <v>1</v>
      </c>
      <c r="U66" s="14" t="str">
        <f>IF(AND(H66="Modificar",D66+E66=0),F66,IF(OR(T66="-",AND(OR(H66="Perfectiva",H66="Somente teste",H66="Teste + Plano"),F66="-",I66=""),AND(H66="Eliminar",AND(C66&lt;&gt;I66,I66&lt;&gt;"-",I66&lt;&gt;""))),"-",IF(AND(H66="Criar",OR(AND(C66&lt;&gt;"",C66&lt;&gt;"-"),F66&lt;&gt;"-",I66="")),"X",IF(AND(A66&lt;&gt;"",H66&lt;&gt;"Eliminar",F66="-",T66&lt;&gt;0,J66+K66+L66+O66+P66+Q66=0),IF(OR(I66="ALI",I66="AIE"),"Baixo","Médio"),IF(AND(OR(M66="-",R66="-"),OR(H66="Criar",F66="-",AND(H66="Eliminar",J66+K66+L66+O66+P66+Q66&lt;&gt;0))),"-",IF(OR(H66="Perfectiva",H66="Eliminar",H66="Somente teste",H66="Teste + Plano"),F66,IF(OR(I66="ALI",I66="AIE"),IF(M66=0,"-",VLOOKUP(M66,{1,"Baixo","Baixo","Médio";2,"Baixo","Médio","Alto";6,"Médio","Alto","Alto"},MATCH(R66,{1,20,51})+1)),IF(I66="EE",VLOOKUP(M66,{0,"Baixo","Baixo","Médio";2,"Baixo","Médio","Alto";3,"Médio","Alto","Alto"},MATCH(R66,{1,5,16})+1),IF(OR(I66="SE",I66="CE"),IF(AND(M66=0,I66="CE"),IF(OR(H66="Perfectiva",H66="Eliminar",H66="Somente teste",H66="Teste + Plano",H66="Modificar"),F66,"-"),VLOOKUP(M66,{0,"Baixo","Baixo","Médio";2,"Baixo","Médio","Alto";4,"Médio","Alto","Alto"},MATCH(R66,{1,6,20})+1)),)))))))))</f>
        <v>Médio</v>
      </c>
      <c r="V66" s="14">
        <f>IF(OR(T66="-",U66="-",OR(AND(OR(I66="-",I66=""),OR(H66="Modificar",H66="Dados de Código")))),"-",IF(H66="Eliminar",G66*T66,IF(AND(OR(H66="Teste + Plano",H66="Somente teste"),F66&lt;&gt;"-"),(G66*0.5)*T66,T66*VLOOKUP(I66,{"ALI",7,10,15;"AIE",5,7,10;"EE",3,4,6;"SE",4,5,7;"CE",3,4,6},MATCH(U66,{"Baixo","Médio","Alto"},0)+1,FALSE))))</f>
        <v>5</v>
      </c>
      <c r="W66" s="15" t="s">
        <v>32</v>
      </c>
      <c r="X66" s="40"/>
      <c r="Y66" s="40"/>
      <c r="Z66" s="40"/>
      <c r="AA66" s="40"/>
      <c r="AB66" s="40"/>
      <c r="AC66" s="40"/>
      <c r="AD66" s="8"/>
      <c r="AE66" s="8"/>
    </row>
    <row r="67" spans="1:31" ht="39.950000000000003" customHeight="1" x14ac:dyDescent="0.2">
      <c r="A67" s="9" t="s">
        <v>148</v>
      </c>
      <c r="B67" s="9" t="s">
        <v>88</v>
      </c>
      <c r="C67" s="10" t="s">
        <v>70</v>
      </c>
      <c r="D67" s="11"/>
      <c r="E67" s="11"/>
      <c r="F67" s="12" t="str">
        <f>IF(OR(TRIM(A67)="",AND(E67=0,D67&lt;&gt;0)),"-",IF(AND(OR(C67="EE",C67="CE",C67="SE"),D67=0,E67=0), "Médio", IF(AND(OR(C67="ALI",C67="AIE"),D67=0,E67=0),"Baixo",IF(OR(C67="ALI",C67="AIE"),IF(D67=0,"-",VLOOKUP(D67,{1,"Baixo","Baixo","Médio";2,"Baixo","Médio","Alto";6,"Médio","Alto","Alto"},MATCH(E67,{1,20,51})+1)),IF(C67="EE",VLOOKUP(D67,{0,"Baixo","Baixo","Médio";2,"Baixo","Médio","Alto";3,"Médio","Alto","Alto"},MATCH(E67,{1,5,16})+1),IF(OR(C67="SE",C67="CE"),IF(AND(D67=0,C67="CE"),"-",VLOOKUP(D67,{0,"Baixo","Baixo","Médio";2,"Baixo","Médio","Alto";4,"Médio","Alto","Alto"},MATCH(E67,{1,6,20})+1)),"-"))))))</f>
        <v>-</v>
      </c>
      <c r="G67" s="13" t="str">
        <f>IF(F67="-","-",VLOOKUP(C67,{"ALI",7,10,15;"AIE",5,7,10;"EE",3,4,6;"SE",4,5,7;"CE",3,4,6},MATCH(F67,{"Baixo","Médio","Alto"},0)+1,FALSE))</f>
        <v>-</v>
      </c>
      <c r="H67" s="11" t="s">
        <v>77</v>
      </c>
      <c r="I67" s="15" t="s">
        <v>73</v>
      </c>
      <c r="J67" s="11"/>
      <c r="K67" s="11"/>
      <c r="L67" s="11"/>
      <c r="M67" s="12">
        <f t="shared" si="52"/>
        <v>0</v>
      </c>
      <c r="N67" s="13" t="str">
        <f t="shared" si="53"/>
        <v>-</v>
      </c>
      <c r="O67" s="11"/>
      <c r="P67" s="11"/>
      <c r="Q67" s="11"/>
      <c r="R67" s="12" t="str">
        <f t="shared" si="54"/>
        <v>-</v>
      </c>
      <c r="S67" s="13" t="str">
        <f t="shared" si="55"/>
        <v>-</v>
      </c>
      <c r="T67" s="14">
        <f>IF(AND(H67="Modificar",SUM(J67:R67)=0),0.25,IF(AND(H67="Dados de Código",AND(D67+E67=0,OR(C67="-",C67=""))),0.1,IF(H67="Eliminar",0.4,IF(H67="Perfectiva",0.3,IF(H67="Somente teste",0.15,IF(H67="Teste + Plano",0.2,IF(H67="Criar",1,IF(OR(AND(H67&lt;&gt;"Modificar",H67&lt;&gt;"Dados de Código"),M67="-",S67="-"),"-",IF(OR(I67="ALI",I67="AIE"),IF(LEFT(C67)&lt;&gt;"A","-",IF(AND(SUM(J67:L67)=0,SUM(O67:Q67)=0),IF(C67&lt;&gt;I67,0.4,"-"),IF(H67="Modificar",HLOOKUP(S67,{0,34,68,101;0.25,0.5,0.75,1},2),HLOOKUP(S67,{0,34,68,101;0.25,0.5,0.75,1},2)*0.1))),IF(OR(AND(I67&lt;&gt;"EE",I67&lt;&gt;"SE",I67&lt;&gt;"CE"),N67="-"),"-", IF(H67="Modificar",VLOOKUP(N67,{0,0.25,0.5,0.75;34,0.5,0.75,1;68,0.75,1,1;101,1,1,1},MATCH(S67,{0,68,101})+1),VLOOKUP(N67,{0,0.25,0.5,0.75;34,0.5,0.75,1;68,0.75,1,1;101,1,1,1},MATCH(S67,{0,68,101})+1)*0.1)))))))))))</f>
        <v>1</v>
      </c>
      <c r="U67" s="14" t="str">
        <f>IF(AND(H67="Modificar",D67+E67=0),F67,IF(OR(T67="-",AND(OR(H67="Perfectiva",H67="Somente teste",H67="Teste + Plano"),F67="-",I67=""),AND(H67="Eliminar",AND(C67&lt;&gt;I67,I67&lt;&gt;"-",I67&lt;&gt;""))),"-",IF(AND(H67="Criar",OR(AND(C67&lt;&gt;"",C67&lt;&gt;"-"),F67&lt;&gt;"-",I67="")),"X",IF(AND(A67&lt;&gt;"",H67&lt;&gt;"Eliminar",F67="-",T67&lt;&gt;0,J67+K67+L67+O67+P67+Q67=0),IF(OR(I67="ALI",I67="AIE"),"Baixo","Médio"),IF(AND(OR(M67="-",R67="-"),OR(H67="Criar",F67="-",AND(H67="Eliminar",J67+K67+L67+O67+P67+Q67&lt;&gt;0))),"-",IF(OR(H67="Perfectiva",H67="Eliminar",H67="Somente teste",H67="Teste + Plano"),F67,IF(OR(I67="ALI",I67="AIE"),IF(M67=0,"-",VLOOKUP(M67,{1,"Baixo","Baixo","Médio";2,"Baixo","Médio","Alto";6,"Médio","Alto","Alto"},MATCH(R67,{1,20,51})+1)),IF(I67="EE",VLOOKUP(M67,{0,"Baixo","Baixo","Médio";2,"Baixo","Médio","Alto";3,"Médio","Alto","Alto"},MATCH(R67,{1,5,16})+1),IF(OR(I67="SE",I67="CE"),IF(AND(M67=0,I67="CE"),IF(OR(H67="Perfectiva",H67="Eliminar",H67="Somente teste",H67="Teste + Plano",H67="Modificar"),F67,"-"),VLOOKUP(M67,{0,"Baixo","Baixo","Médio";2,"Baixo","Médio","Alto";4,"Médio","Alto","Alto"},MATCH(R67,{1,6,20})+1)),)))))))))</f>
        <v>Médio</v>
      </c>
      <c r="V67" s="14">
        <f>IF(OR(T67="-",U67="-",OR(AND(OR(I67="-",I67=""),OR(H67="Modificar",H67="Dados de Código")))),"-",IF(H67="Eliminar",G67*T67,IF(AND(OR(H67="Teste + Plano",H67="Somente teste"),F67&lt;&gt;"-"),(G67*0.5)*T67,T67*VLOOKUP(I67,{"ALI",7,10,15;"AIE",5,7,10;"EE",3,4,6;"SE",4,5,7;"CE",3,4,6},MATCH(U67,{"Baixo","Médio","Alto"},0)+1,FALSE))))</f>
        <v>5</v>
      </c>
      <c r="W67" s="15" t="s">
        <v>32</v>
      </c>
      <c r="X67" s="40"/>
      <c r="Y67" s="40"/>
      <c r="Z67" s="40"/>
      <c r="AA67" s="40"/>
      <c r="AB67" s="40"/>
      <c r="AC67" s="40"/>
      <c r="AD67" s="8"/>
      <c r="AE67" s="8"/>
    </row>
    <row r="68" spans="1:31" ht="39.950000000000003" customHeight="1" x14ac:dyDescent="0.2">
      <c r="A68" s="9" t="s">
        <v>149</v>
      </c>
      <c r="B68" s="9" t="s">
        <v>88</v>
      </c>
      <c r="C68" s="10" t="s">
        <v>70</v>
      </c>
      <c r="D68" s="11"/>
      <c r="E68" s="11"/>
      <c r="F68" s="12" t="str">
        <f>IF(OR(TRIM(A68)="",AND(E68=0,D68&lt;&gt;0)),"-",IF(AND(OR(C68="EE",C68="CE",C68="SE"),D68=0,E68=0), "Médio", IF(AND(OR(C68="ALI",C68="AIE"),D68=0,E68=0),"Baixo",IF(OR(C68="ALI",C68="AIE"),IF(D68=0,"-",VLOOKUP(D68,{1,"Baixo","Baixo","Médio";2,"Baixo","Médio","Alto";6,"Médio","Alto","Alto"},MATCH(E68,{1,20,51})+1)),IF(C68="EE",VLOOKUP(D68,{0,"Baixo","Baixo","Médio";2,"Baixo","Médio","Alto";3,"Médio","Alto","Alto"},MATCH(E68,{1,5,16})+1),IF(OR(C68="SE",C68="CE"),IF(AND(D68=0,C68="CE"),"-",VLOOKUP(D68,{0,"Baixo","Baixo","Médio";2,"Baixo","Médio","Alto";4,"Médio","Alto","Alto"},MATCH(E68,{1,6,20})+1)),"-"))))))</f>
        <v>-</v>
      </c>
      <c r="G68" s="13" t="str">
        <f>IF(F68="-","-",VLOOKUP(C68,{"ALI",7,10,15;"AIE",5,7,10;"EE",3,4,6;"SE",4,5,7;"CE",3,4,6},MATCH(F68,{"Baixo","Médio","Alto"},0)+1,FALSE))</f>
        <v>-</v>
      </c>
      <c r="H68" s="11" t="s">
        <v>77</v>
      </c>
      <c r="I68" s="15" t="s">
        <v>73</v>
      </c>
      <c r="J68" s="11"/>
      <c r="K68" s="11"/>
      <c r="L68" s="11"/>
      <c r="M68" s="12">
        <f t="shared" si="52"/>
        <v>0</v>
      </c>
      <c r="N68" s="13" t="str">
        <f t="shared" si="53"/>
        <v>-</v>
      </c>
      <c r="O68" s="11"/>
      <c r="P68" s="11"/>
      <c r="Q68" s="11"/>
      <c r="R68" s="12" t="str">
        <f t="shared" si="54"/>
        <v>-</v>
      </c>
      <c r="S68" s="13" t="str">
        <f t="shared" si="55"/>
        <v>-</v>
      </c>
      <c r="T68" s="14">
        <f>IF(AND(H68="Modificar",SUM(J68:R68)=0),0.25,IF(AND(H68="Dados de Código",AND(D68+E68=0,OR(C68="-",C68=""))),0.1,IF(H68="Eliminar",0.4,IF(H68="Perfectiva",0.3,IF(H68="Somente teste",0.15,IF(H68="Teste + Plano",0.2,IF(H68="Criar",1,IF(OR(AND(H68&lt;&gt;"Modificar",H68&lt;&gt;"Dados de Código"),M68="-",S68="-"),"-",IF(OR(I68="ALI",I68="AIE"),IF(LEFT(C68)&lt;&gt;"A","-",IF(AND(SUM(J68:L68)=0,SUM(O68:Q68)=0),IF(C68&lt;&gt;I68,0.4,"-"),IF(H68="Modificar",HLOOKUP(S68,{0,34,68,101;0.25,0.5,0.75,1},2),HLOOKUP(S68,{0,34,68,101;0.25,0.5,0.75,1},2)*0.1))),IF(OR(AND(I68&lt;&gt;"EE",I68&lt;&gt;"SE",I68&lt;&gt;"CE"),N68="-"),"-", IF(H68="Modificar",VLOOKUP(N68,{0,0.25,0.5,0.75;34,0.5,0.75,1;68,0.75,1,1;101,1,1,1},MATCH(S68,{0,68,101})+1),VLOOKUP(N68,{0,0.25,0.5,0.75;34,0.5,0.75,1;68,0.75,1,1;101,1,1,1},MATCH(S68,{0,68,101})+1)*0.1)))))))))))</f>
        <v>1</v>
      </c>
      <c r="U68" s="14" t="str">
        <f>IF(AND(H68="Modificar",D68+E68=0),F68,IF(OR(T68="-",AND(OR(H68="Perfectiva",H68="Somente teste",H68="Teste + Plano"),F68="-",I68=""),AND(H68="Eliminar",AND(C68&lt;&gt;I68,I68&lt;&gt;"-",I68&lt;&gt;""))),"-",IF(AND(H68="Criar",OR(AND(C68&lt;&gt;"",C68&lt;&gt;"-"),F68&lt;&gt;"-",I68="")),"X",IF(AND(A68&lt;&gt;"",H68&lt;&gt;"Eliminar",F68="-",T68&lt;&gt;0,J68+K68+L68+O68+P68+Q68=0),IF(OR(I68="ALI",I68="AIE"),"Baixo","Médio"),IF(AND(OR(M68="-",R68="-"),OR(H68="Criar",F68="-",AND(H68="Eliminar",J68+K68+L68+O68+P68+Q68&lt;&gt;0))),"-",IF(OR(H68="Perfectiva",H68="Eliminar",H68="Somente teste",H68="Teste + Plano"),F68,IF(OR(I68="ALI",I68="AIE"),IF(M68=0,"-",VLOOKUP(M68,{1,"Baixo","Baixo","Médio";2,"Baixo","Médio","Alto";6,"Médio","Alto","Alto"},MATCH(R68,{1,20,51})+1)),IF(I68="EE",VLOOKUP(M68,{0,"Baixo","Baixo","Médio";2,"Baixo","Médio","Alto";3,"Médio","Alto","Alto"},MATCH(R68,{1,5,16})+1),IF(OR(I68="SE",I68="CE"),IF(AND(M68=0,I68="CE"),IF(OR(H68="Perfectiva",H68="Eliminar",H68="Somente teste",H68="Teste + Plano",H68="Modificar"),F68,"-"),VLOOKUP(M68,{0,"Baixo","Baixo","Médio";2,"Baixo","Médio","Alto";4,"Médio","Alto","Alto"},MATCH(R68,{1,6,20})+1)),)))))))))</f>
        <v>Médio</v>
      </c>
      <c r="V68" s="14">
        <f>IF(OR(T68="-",U68="-",OR(AND(OR(I68="-",I68=""),OR(H68="Modificar",H68="Dados de Código")))),"-",IF(H68="Eliminar",G68*T68,IF(AND(OR(H68="Teste + Plano",H68="Somente teste"),F68&lt;&gt;"-"),(G68*0.5)*T68,T68*VLOOKUP(I68,{"ALI",7,10,15;"AIE",5,7,10;"EE",3,4,6;"SE",4,5,7;"CE",3,4,6},MATCH(U68,{"Baixo","Médio","Alto"},0)+1,FALSE))))</f>
        <v>5</v>
      </c>
      <c r="W68" s="15" t="s">
        <v>32</v>
      </c>
      <c r="X68" s="40"/>
      <c r="Y68" s="40"/>
      <c r="Z68" s="40"/>
      <c r="AA68" s="40"/>
      <c r="AB68" s="40"/>
      <c r="AC68" s="40"/>
      <c r="AD68" s="8"/>
      <c r="AE68" s="8"/>
    </row>
    <row r="69" spans="1:31" ht="39.950000000000003" customHeight="1" x14ac:dyDescent="0.2">
      <c r="A69" s="9" t="s">
        <v>150</v>
      </c>
      <c r="B69" s="9" t="s">
        <v>88</v>
      </c>
      <c r="C69" s="10" t="s">
        <v>70</v>
      </c>
      <c r="D69" s="11"/>
      <c r="E69" s="11"/>
      <c r="F69" s="12" t="str">
        <f>IF(OR(TRIM(A69)="",AND(E69=0,D69&lt;&gt;0)),"-",IF(AND(OR(C69="EE",C69="CE",C69="SE"),D69=0,E69=0), "Médio", IF(AND(OR(C69="ALI",C69="AIE"),D69=0,E69=0),"Baixo",IF(OR(C69="ALI",C69="AIE"),IF(D69=0,"-",VLOOKUP(D69,{1,"Baixo","Baixo","Médio";2,"Baixo","Médio","Alto";6,"Médio","Alto","Alto"},MATCH(E69,{1,20,51})+1)),IF(C69="EE",VLOOKUP(D69,{0,"Baixo","Baixo","Médio";2,"Baixo","Médio","Alto";3,"Médio","Alto","Alto"},MATCH(E69,{1,5,16})+1),IF(OR(C69="SE",C69="CE"),IF(AND(D69=0,C69="CE"),"-",VLOOKUP(D69,{0,"Baixo","Baixo","Médio";2,"Baixo","Médio","Alto";4,"Médio","Alto","Alto"},MATCH(E69,{1,6,20})+1)),"-"))))))</f>
        <v>-</v>
      </c>
      <c r="G69" s="13" t="str">
        <f>IF(F69="-","-",VLOOKUP(C69,{"ALI",7,10,15;"AIE",5,7,10;"EE",3,4,6;"SE",4,5,7;"CE",3,4,6},MATCH(F69,{"Baixo","Médio","Alto"},0)+1,FALSE))</f>
        <v>-</v>
      </c>
      <c r="H69" s="11" t="s">
        <v>77</v>
      </c>
      <c r="I69" s="15" t="s">
        <v>73</v>
      </c>
      <c r="J69" s="11"/>
      <c r="K69" s="11"/>
      <c r="L69" s="11"/>
      <c r="M69" s="12">
        <f t="shared" si="52"/>
        <v>0</v>
      </c>
      <c r="N69" s="13" t="str">
        <f t="shared" si="53"/>
        <v>-</v>
      </c>
      <c r="O69" s="11"/>
      <c r="P69" s="11"/>
      <c r="Q69" s="11"/>
      <c r="R69" s="12" t="str">
        <f t="shared" si="54"/>
        <v>-</v>
      </c>
      <c r="S69" s="13" t="str">
        <f t="shared" si="55"/>
        <v>-</v>
      </c>
      <c r="T69" s="14">
        <f>IF(AND(H69="Modificar",SUM(J69:R69)=0),0.25,IF(AND(H69="Dados de Código",AND(D69+E69=0,OR(C69="-",C69=""))),0.1,IF(H69="Eliminar",0.4,IF(H69="Perfectiva",0.3,IF(H69="Somente teste",0.15,IF(H69="Teste + Plano",0.2,IF(H69="Criar",1,IF(OR(AND(H69&lt;&gt;"Modificar",H69&lt;&gt;"Dados de Código"),M69="-",S69="-"),"-",IF(OR(I69="ALI",I69="AIE"),IF(LEFT(C69)&lt;&gt;"A","-",IF(AND(SUM(J69:L69)=0,SUM(O69:Q69)=0),IF(C69&lt;&gt;I69,0.4,"-"),IF(H69="Modificar",HLOOKUP(S69,{0,34,68,101;0.25,0.5,0.75,1},2),HLOOKUP(S69,{0,34,68,101;0.25,0.5,0.75,1},2)*0.1))),IF(OR(AND(I69&lt;&gt;"EE",I69&lt;&gt;"SE",I69&lt;&gt;"CE"),N69="-"),"-", IF(H69="Modificar",VLOOKUP(N69,{0,0.25,0.5,0.75;34,0.5,0.75,1;68,0.75,1,1;101,1,1,1},MATCH(S69,{0,68,101})+1),VLOOKUP(N69,{0,0.25,0.5,0.75;34,0.5,0.75,1;68,0.75,1,1;101,1,1,1},MATCH(S69,{0,68,101})+1)*0.1)))))))))))</f>
        <v>1</v>
      </c>
      <c r="U69" s="14" t="str">
        <f>IF(AND(H69="Modificar",D69+E69=0),F69,IF(OR(T69="-",AND(OR(H69="Perfectiva",H69="Somente teste",H69="Teste + Plano"),F69="-",I69=""),AND(H69="Eliminar",AND(C69&lt;&gt;I69,I69&lt;&gt;"-",I69&lt;&gt;""))),"-",IF(AND(H69="Criar",OR(AND(C69&lt;&gt;"",C69&lt;&gt;"-"),F69&lt;&gt;"-",I69="")),"X",IF(AND(A69&lt;&gt;"",H69&lt;&gt;"Eliminar",F69="-",T69&lt;&gt;0,J69+K69+L69+O69+P69+Q69=0),IF(OR(I69="ALI",I69="AIE"),"Baixo","Médio"),IF(AND(OR(M69="-",R69="-"),OR(H69="Criar",F69="-",AND(H69="Eliminar",J69+K69+L69+O69+P69+Q69&lt;&gt;0))),"-",IF(OR(H69="Perfectiva",H69="Eliminar",H69="Somente teste",H69="Teste + Plano"),F69,IF(OR(I69="ALI",I69="AIE"),IF(M69=0,"-",VLOOKUP(M69,{1,"Baixo","Baixo","Médio";2,"Baixo","Médio","Alto";6,"Médio","Alto","Alto"},MATCH(R69,{1,20,51})+1)),IF(I69="EE",VLOOKUP(M69,{0,"Baixo","Baixo","Médio";2,"Baixo","Médio","Alto";3,"Médio","Alto","Alto"},MATCH(R69,{1,5,16})+1),IF(OR(I69="SE",I69="CE"),IF(AND(M69=0,I69="CE"),IF(OR(H69="Perfectiva",H69="Eliminar",H69="Somente teste",H69="Teste + Plano",H69="Modificar"),F69,"-"),VLOOKUP(M69,{0,"Baixo","Baixo","Médio";2,"Baixo","Médio","Alto";4,"Médio","Alto","Alto"},MATCH(R69,{1,6,20})+1)),)))))))))</f>
        <v>Médio</v>
      </c>
      <c r="V69" s="14">
        <f>IF(OR(T69="-",U69="-",OR(AND(OR(I69="-",I69=""),OR(H69="Modificar",H69="Dados de Código")))),"-",IF(H69="Eliminar",G69*T69,IF(AND(OR(H69="Teste + Plano",H69="Somente teste"),F69&lt;&gt;"-"),(G69*0.5)*T69,T69*VLOOKUP(I69,{"ALI",7,10,15;"AIE",5,7,10;"EE",3,4,6;"SE",4,5,7;"CE",3,4,6},MATCH(U69,{"Baixo","Médio","Alto"},0)+1,FALSE))))</f>
        <v>5</v>
      </c>
      <c r="W69" s="15" t="s">
        <v>32</v>
      </c>
      <c r="X69" s="40"/>
      <c r="Y69" s="40"/>
      <c r="Z69" s="40"/>
      <c r="AA69" s="40"/>
      <c r="AB69" s="40"/>
      <c r="AC69" s="40"/>
      <c r="AD69" s="8"/>
      <c r="AE69" s="8"/>
    </row>
    <row r="70" spans="1:31" ht="39.950000000000003" customHeight="1" x14ac:dyDescent="0.2">
      <c r="A70" s="9" t="s">
        <v>152</v>
      </c>
      <c r="B70" s="9" t="s">
        <v>88</v>
      </c>
      <c r="C70" s="10" t="s">
        <v>70</v>
      </c>
      <c r="D70" s="11"/>
      <c r="E70" s="11"/>
      <c r="F70" s="12" t="str">
        <f>IF(OR(TRIM(A70)="",AND(E70=0,D70&lt;&gt;0)),"-",IF(AND(OR(C70="EE",C70="CE",C70="SE"),D70=0,E70=0), "Médio", IF(AND(OR(C70="ALI",C70="AIE"),D70=0,E70=0),"Baixo",IF(OR(C70="ALI",C70="AIE"),IF(D70=0,"-",VLOOKUP(D70,{1,"Baixo","Baixo","Médio";2,"Baixo","Médio","Alto";6,"Médio","Alto","Alto"},MATCH(E70,{1,20,51})+1)),IF(C70="EE",VLOOKUP(D70,{0,"Baixo","Baixo","Médio";2,"Baixo","Médio","Alto";3,"Médio","Alto","Alto"},MATCH(E70,{1,5,16})+1),IF(OR(C70="SE",C70="CE"),IF(AND(D70=0,C70="CE"),"-",VLOOKUP(D70,{0,"Baixo","Baixo","Médio";2,"Baixo","Médio","Alto";4,"Médio","Alto","Alto"},MATCH(E70,{1,6,20})+1)),"-"))))))</f>
        <v>-</v>
      </c>
      <c r="G70" s="13" t="str">
        <f>IF(F70="-","-",VLOOKUP(C70,{"ALI",7,10,15;"AIE",5,7,10;"EE",3,4,6;"SE",4,5,7;"CE",3,4,6},MATCH(F70,{"Baixo","Médio","Alto"},0)+1,FALSE))</f>
        <v>-</v>
      </c>
      <c r="H70" s="11" t="s">
        <v>77</v>
      </c>
      <c r="I70" s="15" t="s">
        <v>73</v>
      </c>
      <c r="J70" s="11"/>
      <c r="K70" s="11"/>
      <c r="L70" s="11"/>
      <c r="M70" s="12">
        <f t="shared" si="52"/>
        <v>0</v>
      </c>
      <c r="N70" s="13" t="str">
        <f t="shared" si="53"/>
        <v>-</v>
      </c>
      <c r="O70" s="11"/>
      <c r="P70" s="11"/>
      <c r="Q70" s="11"/>
      <c r="R70" s="12" t="str">
        <f t="shared" si="54"/>
        <v>-</v>
      </c>
      <c r="S70" s="13" t="str">
        <f t="shared" si="55"/>
        <v>-</v>
      </c>
      <c r="T70" s="14">
        <f>IF(AND(H70="Modificar",SUM(J70:R70)=0),0.25,IF(AND(H70="Dados de Código",AND(D70+E70=0,OR(C70="-",C70=""))),0.1,IF(H70="Eliminar",0.4,IF(H70="Perfectiva",0.3,IF(H70="Somente teste",0.15,IF(H70="Teste + Plano",0.2,IF(H70="Criar",1,IF(OR(AND(H70&lt;&gt;"Modificar",H70&lt;&gt;"Dados de Código"),M70="-",S70="-"),"-",IF(OR(I70="ALI",I70="AIE"),IF(LEFT(C70)&lt;&gt;"A","-",IF(AND(SUM(J70:L70)=0,SUM(O70:Q70)=0),IF(C70&lt;&gt;I70,0.4,"-"),IF(H70="Modificar",HLOOKUP(S70,{0,34,68,101;0.25,0.5,0.75,1},2),HLOOKUP(S70,{0,34,68,101;0.25,0.5,0.75,1},2)*0.1))),IF(OR(AND(I70&lt;&gt;"EE",I70&lt;&gt;"SE",I70&lt;&gt;"CE"),N70="-"),"-", IF(H70="Modificar",VLOOKUP(N70,{0,0.25,0.5,0.75;34,0.5,0.75,1;68,0.75,1,1;101,1,1,1},MATCH(S70,{0,68,101})+1),VLOOKUP(N70,{0,0.25,0.5,0.75;34,0.5,0.75,1;68,0.75,1,1;101,1,1,1},MATCH(S70,{0,68,101})+1)*0.1)))))))))))</f>
        <v>1</v>
      </c>
      <c r="U70" s="14" t="str">
        <f>IF(AND(H70="Modificar",D70+E70=0),F70,IF(OR(T70="-",AND(OR(H70="Perfectiva",H70="Somente teste",H70="Teste + Plano"),F70="-",I70=""),AND(H70="Eliminar",AND(C70&lt;&gt;I70,I70&lt;&gt;"-",I70&lt;&gt;""))),"-",IF(AND(H70="Criar",OR(AND(C70&lt;&gt;"",C70&lt;&gt;"-"),F70&lt;&gt;"-",I70="")),"X",IF(AND(A70&lt;&gt;"",H70&lt;&gt;"Eliminar",F70="-",T70&lt;&gt;0,J70+K70+L70+O70+P70+Q70=0),IF(OR(I70="ALI",I70="AIE"),"Baixo","Médio"),IF(AND(OR(M70="-",R70="-"),OR(H70="Criar",F70="-",AND(H70="Eliminar",J70+K70+L70+O70+P70+Q70&lt;&gt;0))),"-",IF(OR(H70="Perfectiva",H70="Eliminar",H70="Somente teste",H70="Teste + Plano"),F70,IF(OR(I70="ALI",I70="AIE"),IF(M70=0,"-",VLOOKUP(M70,{1,"Baixo","Baixo","Médio";2,"Baixo","Médio","Alto";6,"Médio","Alto","Alto"},MATCH(R70,{1,20,51})+1)),IF(I70="EE",VLOOKUP(M70,{0,"Baixo","Baixo","Médio";2,"Baixo","Médio","Alto";3,"Médio","Alto","Alto"},MATCH(R70,{1,5,16})+1),IF(OR(I70="SE",I70="CE"),IF(AND(M70=0,I70="CE"),IF(OR(H70="Perfectiva",H70="Eliminar",H70="Somente teste",H70="Teste + Plano",H70="Modificar"),F70,"-"),VLOOKUP(M70,{0,"Baixo","Baixo","Médio";2,"Baixo","Médio","Alto";4,"Médio","Alto","Alto"},MATCH(R70,{1,6,20})+1)),)))))))))</f>
        <v>Médio</v>
      </c>
      <c r="V70" s="14">
        <f>IF(OR(T70="-",U70="-",OR(AND(OR(I70="-",I70=""),OR(H70="Modificar",H70="Dados de Código")))),"-",IF(H70="Eliminar",G70*T70,IF(AND(OR(H70="Teste + Plano",H70="Somente teste"),F70&lt;&gt;"-"),(G70*0.5)*T70,T70*VLOOKUP(I70,{"ALI",7,10,15;"AIE",5,7,10;"EE",3,4,6;"SE",4,5,7;"CE",3,4,6},MATCH(U70,{"Baixo","Médio","Alto"},0)+1,FALSE))))</f>
        <v>5</v>
      </c>
      <c r="W70" s="15" t="s">
        <v>32</v>
      </c>
      <c r="X70" s="40"/>
      <c r="Y70" s="40"/>
      <c r="Z70" s="40"/>
      <c r="AA70" s="40"/>
      <c r="AB70" s="40"/>
      <c r="AC70" s="40"/>
      <c r="AD70" s="8"/>
      <c r="AE70" s="8"/>
    </row>
    <row r="71" spans="1:31" ht="39.950000000000003" customHeight="1" x14ac:dyDescent="0.2">
      <c r="A71" s="9" t="s">
        <v>153</v>
      </c>
      <c r="B71" s="9" t="s">
        <v>88</v>
      </c>
      <c r="C71" s="10" t="s">
        <v>70</v>
      </c>
      <c r="D71" s="11"/>
      <c r="E71" s="11"/>
      <c r="F71" s="12" t="str">
        <f>IF(OR(TRIM(A71)="",AND(E71=0,D71&lt;&gt;0)),"-",IF(AND(OR(C71="EE",C71="CE",C71="SE"),D71=0,E71=0), "Médio", IF(AND(OR(C71="ALI",C71="AIE"),D71=0,E71=0),"Baixo",IF(OR(C71="ALI",C71="AIE"),IF(D71=0,"-",VLOOKUP(D71,{1,"Baixo","Baixo","Médio";2,"Baixo","Médio","Alto";6,"Médio","Alto","Alto"},MATCH(E71,{1,20,51})+1)),IF(C71="EE",VLOOKUP(D71,{0,"Baixo","Baixo","Médio";2,"Baixo","Médio","Alto";3,"Médio","Alto","Alto"},MATCH(E71,{1,5,16})+1),IF(OR(C71="SE",C71="CE"),IF(AND(D71=0,C71="CE"),"-",VLOOKUP(D71,{0,"Baixo","Baixo","Médio";2,"Baixo","Médio","Alto";4,"Médio","Alto","Alto"},MATCH(E71,{1,6,20})+1)),"-"))))))</f>
        <v>-</v>
      </c>
      <c r="G71" s="13" t="str">
        <f>IF(F71="-","-",VLOOKUP(C71,{"ALI",7,10,15;"AIE",5,7,10;"EE",3,4,6;"SE",4,5,7;"CE",3,4,6},MATCH(F71,{"Baixo","Médio","Alto"},0)+1,FALSE))</f>
        <v>-</v>
      </c>
      <c r="H71" s="11" t="s">
        <v>77</v>
      </c>
      <c r="I71" s="15" t="s">
        <v>73</v>
      </c>
      <c r="J71" s="11"/>
      <c r="K71" s="11"/>
      <c r="L71" s="11"/>
      <c r="M71" s="12">
        <f t="shared" si="52"/>
        <v>0</v>
      </c>
      <c r="N71" s="13" t="str">
        <f t="shared" si="53"/>
        <v>-</v>
      </c>
      <c r="O71" s="11"/>
      <c r="P71" s="11"/>
      <c r="Q71" s="11"/>
      <c r="R71" s="12" t="str">
        <f t="shared" si="54"/>
        <v>-</v>
      </c>
      <c r="S71" s="13" t="str">
        <f t="shared" si="55"/>
        <v>-</v>
      </c>
      <c r="T71" s="14">
        <f>IF(AND(H71="Modificar",SUM(J71:R71)=0),0.25,IF(AND(H71="Dados de Código",AND(D71+E71=0,OR(C71="-",C71=""))),0.1,IF(H71="Eliminar",0.4,IF(H71="Perfectiva",0.3,IF(H71="Somente teste",0.15,IF(H71="Teste + Plano",0.2,IF(H71="Criar",1,IF(OR(AND(H71&lt;&gt;"Modificar",H71&lt;&gt;"Dados de Código"),M71="-",S71="-"),"-",IF(OR(I71="ALI",I71="AIE"),IF(LEFT(C71)&lt;&gt;"A","-",IF(AND(SUM(J71:L71)=0,SUM(O71:Q71)=0),IF(C71&lt;&gt;I71,0.4,"-"),IF(H71="Modificar",HLOOKUP(S71,{0,34,68,101;0.25,0.5,0.75,1},2),HLOOKUP(S71,{0,34,68,101;0.25,0.5,0.75,1},2)*0.1))),IF(OR(AND(I71&lt;&gt;"EE",I71&lt;&gt;"SE",I71&lt;&gt;"CE"),N71="-"),"-", IF(H71="Modificar",VLOOKUP(N71,{0,0.25,0.5,0.75;34,0.5,0.75,1;68,0.75,1,1;101,1,1,1},MATCH(S71,{0,68,101})+1),VLOOKUP(N71,{0,0.25,0.5,0.75;34,0.5,0.75,1;68,0.75,1,1;101,1,1,1},MATCH(S71,{0,68,101})+1)*0.1)))))))))))</f>
        <v>1</v>
      </c>
      <c r="U71" s="14" t="str">
        <f>IF(AND(H71="Modificar",D71+E71=0),F71,IF(OR(T71="-",AND(OR(H71="Perfectiva",H71="Somente teste",H71="Teste + Plano"),F71="-",I71=""),AND(H71="Eliminar",AND(C71&lt;&gt;I71,I71&lt;&gt;"-",I71&lt;&gt;""))),"-",IF(AND(H71="Criar",OR(AND(C71&lt;&gt;"",C71&lt;&gt;"-"),F71&lt;&gt;"-",I71="")),"X",IF(AND(A71&lt;&gt;"",H71&lt;&gt;"Eliminar",F71="-",T71&lt;&gt;0,J71+K71+L71+O71+P71+Q71=0),IF(OR(I71="ALI",I71="AIE"),"Baixo","Médio"),IF(AND(OR(M71="-",R71="-"),OR(H71="Criar",F71="-",AND(H71="Eliminar",J71+K71+L71+O71+P71+Q71&lt;&gt;0))),"-",IF(OR(H71="Perfectiva",H71="Eliminar",H71="Somente teste",H71="Teste + Plano"),F71,IF(OR(I71="ALI",I71="AIE"),IF(M71=0,"-",VLOOKUP(M71,{1,"Baixo","Baixo","Médio";2,"Baixo","Médio","Alto";6,"Médio","Alto","Alto"},MATCH(R71,{1,20,51})+1)),IF(I71="EE",VLOOKUP(M71,{0,"Baixo","Baixo","Médio";2,"Baixo","Médio","Alto";3,"Médio","Alto","Alto"},MATCH(R71,{1,5,16})+1),IF(OR(I71="SE",I71="CE"),IF(AND(M71=0,I71="CE"),IF(OR(H71="Perfectiva",H71="Eliminar",H71="Somente teste",H71="Teste + Plano",H71="Modificar"),F71,"-"),VLOOKUP(M71,{0,"Baixo","Baixo","Médio";2,"Baixo","Médio","Alto";4,"Médio","Alto","Alto"},MATCH(R71,{1,6,20})+1)),)))))))))</f>
        <v>Médio</v>
      </c>
      <c r="V71" s="14">
        <f>IF(OR(T71="-",U71="-",OR(AND(OR(I71="-",I71=""),OR(H71="Modificar",H71="Dados de Código")))),"-",IF(H71="Eliminar",G71*T71,IF(AND(OR(H71="Teste + Plano",H71="Somente teste"),F71&lt;&gt;"-"),(G71*0.5)*T71,T71*VLOOKUP(I71,{"ALI",7,10,15;"AIE",5,7,10;"EE",3,4,6;"SE",4,5,7;"CE",3,4,6},MATCH(U71,{"Baixo","Médio","Alto"},0)+1,FALSE))))</f>
        <v>5</v>
      </c>
      <c r="W71" s="15" t="s">
        <v>32</v>
      </c>
      <c r="X71" s="40"/>
      <c r="Y71" s="40"/>
      <c r="Z71" s="40"/>
      <c r="AA71" s="40"/>
      <c r="AB71" s="40"/>
      <c r="AC71" s="40"/>
      <c r="AD71" s="8"/>
      <c r="AE71" s="8"/>
    </row>
    <row r="72" spans="1:31" ht="39.950000000000003" customHeight="1" x14ac:dyDescent="0.2">
      <c r="A72" s="9" t="s">
        <v>163</v>
      </c>
      <c r="B72" s="9" t="s">
        <v>88</v>
      </c>
      <c r="C72" s="10" t="s">
        <v>70</v>
      </c>
      <c r="D72" s="11"/>
      <c r="E72" s="11"/>
      <c r="F72" s="12" t="str">
        <f>IF(OR(TRIM(A72)="",AND(E72=0,D72&lt;&gt;0)),"-",IF(AND(OR(C72="EE",C72="CE",C72="SE"),D72=0,E72=0), "Médio", IF(AND(OR(C72="ALI",C72="AIE"),D72=0,E72=0),"Baixo",IF(OR(C72="ALI",C72="AIE"),IF(D72=0,"-",VLOOKUP(D72,{1,"Baixo","Baixo","Médio";2,"Baixo","Médio","Alto";6,"Médio","Alto","Alto"},MATCH(E72,{1,20,51})+1)),IF(C72="EE",VLOOKUP(D72,{0,"Baixo","Baixo","Médio";2,"Baixo","Médio","Alto";3,"Médio","Alto","Alto"},MATCH(E72,{1,5,16})+1),IF(OR(C72="SE",C72="CE"),IF(AND(D72=0,C72="CE"),"-",VLOOKUP(D72,{0,"Baixo","Baixo","Médio";2,"Baixo","Médio","Alto";4,"Médio","Alto","Alto"},MATCH(E72,{1,6,20})+1)),"-"))))))</f>
        <v>-</v>
      </c>
      <c r="G72" s="13" t="str">
        <f>IF(F72="-","-",VLOOKUP(C72,{"ALI",7,10,15;"AIE",5,7,10;"EE",3,4,6;"SE",4,5,7;"CE",3,4,6},MATCH(F72,{"Baixo","Médio","Alto"},0)+1,FALSE))</f>
        <v>-</v>
      </c>
      <c r="H72" s="11" t="s">
        <v>77</v>
      </c>
      <c r="I72" s="15" t="s">
        <v>73</v>
      </c>
      <c r="J72" s="11"/>
      <c r="K72" s="11"/>
      <c r="L72" s="11"/>
      <c r="M72" s="12">
        <f t="shared" si="52"/>
        <v>0</v>
      </c>
      <c r="N72" s="13" t="str">
        <f t="shared" si="53"/>
        <v>-</v>
      </c>
      <c r="O72" s="11"/>
      <c r="P72" s="11"/>
      <c r="Q72" s="11"/>
      <c r="R72" s="12" t="str">
        <f t="shared" si="54"/>
        <v>-</v>
      </c>
      <c r="S72" s="13" t="str">
        <f t="shared" si="55"/>
        <v>-</v>
      </c>
      <c r="T72" s="14">
        <f>IF(AND(H72="Modificar",SUM(J72:R72)=0),0.25,IF(AND(H72="Dados de Código",AND(D72+E72=0,OR(C72="-",C72=""))),0.1,IF(H72="Eliminar",0.4,IF(H72="Perfectiva",0.3,IF(H72="Somente teste",0.15,IF(H72="Teste + Plano",0.2,IF(H72="Criar",1,IF(OR(AND(H72&lt;&gt;"Modificar",H72&lt;&gt;"Dados de Código"),M72="-",S72="-"),"-",IF(OR(I72="ALI",I72="AIE"),IF(LEFT(C72)&lt;&gt;"A","-",IF(AND(SUM(J72:L72)=0,SUM(O72:Q72)=0),IF(C72&lt;&gt;I72,0.4,"-"),IF(H72="Modificar",HLOOKUP(S72,{0,34,68,101;0.25,0.5,0.75,1},2),HLOOKUP(S72,{0,34,68,101;0.25,0.5,0.75,1},2)*0.1))),IF(OR(AND(I72&lt;&gt;"EE",I72&lt;&gt;"SE",I72&lt;&gt;"CE"),N72="-"),"-", IF(H72="Modificar",VLOOKUP(N72,{0,0.25,0.5,0.75;34,0.5,0.75,1;68,0.75,1,1;101,1,1,1},MATCH(S72,{0,68,101})+1),VLOOKUP(N72,{0,0.25,0.5,0.75;34,0.5,0.75,1;68,0.75,1,1;101,1,1,1},MATCH(S72,{0,68,101})+1)*0.1)))))))))))</f>
        <v>1</v>
      </c>
      <c r="U72" s="14" t="str">
        <f>IF(AND(H72="Modificar",D72+E72=0),F72,IF(OR(T72="-",AND(OR(H72="Perfectiva",H72="Somente teste",H72="Teste + Plano"),F72="-",I72=""),AND(H72="Eliminar",AND(C72&lt;&gt;I72,I72&lt;&gt;"-",I72&lt;&gt;""))),"-",IF(AND(H72="Criar",OR(AND(C72&lt;&gt;"",C72&lt;&gt;"-"),F72&lt;&gt;"-",I72="")),"X",IF(AND(A72&lt;&gt;"",H72&lt;&gt;"Eliminar",F72="-",T72&lt;&gt;0,J72+K72+L72+O72+P72+Q72=0),IF(OR(I72="ALI",I72="AIE"),"Baixo","Médio"),IF(AND(OR(M72="-",R72="-"),OR(H72="Criar",F72="-",AND(H72="Eliminar",J72+K72+L72+O72+P72+Q72&lt;&gt;0))),"-",IF(OR(H72="Perfectiva",H72="Eliminar",H72="Somente teste",H72="Teste + Plano"),F72,IF(OR(I72="ALI",I72="AIE"),IF(M72=0,"-",VLOOKUP(M72,{1,"Baixo","Baixo","Médio";2,"Baixo","Médio","Alto";6,"Médio","Alto","Alto"},MATCH(R72,{1,20,51})+1)),IF(I72="EE",VLOOKUP(M72,{0,"Baixo","Baixo","Médio";2,"Baixo","Médio","Alto";3,"Médio","Alto","Alto"},MATCH(R72,{1,5,16})+1),IF(OR(I72="SE",I72="CE"),IF(AND(M72=0,I72="CE"),IF(OR(H72="Perfectiva",H72="Eliminar",H72="Somente teste",H72="Teste + Plano",H72="Modificar"),F72,"-"),VLOOKUP(M72,{0,"Baixo","Baixo","Médio";2,"Baixo","Médio","Alto";4,"Médio","Alto","Alto"},MATCH(R72,{1,6,20})+1)),)))))))))</f>
        <v>Médio</v>
      </c>
      <c r="V72" s="14">
        <f>IF(OR(T72="-",U72="-",OR(AND(OR(I72="-",I72=""),OR(H72="Modificar",H72="Dados de Código")))),"-",IF(H72="Eliminar",G72*T72,IF(AND(OR(H72="Teste + Plano",H72="Somente teste"),F72&lt;&gt;"-"),(G72*0.5)*T72,T72*VLOOKUP(I72,{"ALI",7,10,15;"AIE",5,7,10;"EE",3,4,6;"SE",4,5,7;"CE",3,4,6},MATCH(U72,{"Baixo","Médio","Alto"},0)+1,FALSE))))</f>
        <v>5</v>
      </c>
      <c r="W72" s="15" t="s">
        <v>32</v>
      </c>
      <c r="X72" s="40"/>
      <c r="Y72" s="40"/>
      <c r="Z72" s="40"/>
      <c r="AA72" s="40"/>
      <c r="AB72" s="40"/>
      <c r="AC72" s="40"/>
      <c r="AD72" s="8"/>
      <c r="AE72" s="8"/>
    </row>
    <row r="73" spans="1:31" ht="39.950000000000003" customHeight="1" x14ac:dyDescent="0.2">
      <c r="A73" s="9" t="s">
        <v>162</v>
      </c>
      <c r="B73" s="9" t="s">
        <v>88</v>
      </c>
      <c r="C73" s="10" t="s">
        <v>70</v>
      </c>
      <c r="D73" s="11"/>
      <c r="E73" s="11"/>
      <c r="F73" s="12" t="str">
        <f>IF(OR(TRIM(A73)="",AND(E73=0,D73&lt;&gt;0)),"-",IF(AND(OR(C73="EE",C73="CE",C73="SE"),D73=0,E73=0), "Médio", IF(AND(OR(C73="ALI",C73="AIE"),D73=0,E73=0),"Baixo",IF(OR(C73="ALI",C73="AIE"),IF(D73=0,"-",VLOOKUP(D73,{1,"Baixo","Baixo","Médio";2,"Baixo","Médio","Alto";6,"Médio","Alto","Alto"},MATCH(E73,{1,20,51})+1)),IF(C73="EE",VLOOKUP(D73,{0,"Baixo","Baixo","Médio";2,"Baixo","Médio","Alto";3,"Médio","Alto","Alto"},MATCH(E73,{1,5,16})+1),IF(OR(C73="SE",C73="CE"),IF(AND(D73=0,C73="CE"),"-",VLOOKUP(D73,{0,"Baixo","Baixo","Médio";2,"Baixo","Médio","Alto";4,"Médio","Alto","Alto"},MATCH(E73,{1,6,20})+1)),"-"))))))</f>
        <v>-</v>
      </c>
      <c r="G73" s="13" t="str">
        <f>IF(F73="-","-",VLOOKUP(C73,{"ALI",7,10,15;"AIE",5,7,10;"EE",3,4,6;"SE",4,5,7;"CE",3,4,6},MATCH(F73,{"Baixo","Médio","Alto"},0)+1,FALSE))</f>
        <v>-</v>
      </c>
      <c r="H73" s="11" t="s">
        <v>77</v>
      </c>
      <c r="I73" s="15" t="s">
        <v>73</v>
      </c>
      <c r="J73" s="11"/>
      <c r="K73" s="11"/>
      <c r="L73" s="11"/>
      <c r="M73" s="12">
        <f t="shared" si="52"/>
        <v>0</v>
      </c>
      <c r="N73" s="13" t="str">
        <f t="shared" si="53"/>
        <v>-</v>
      </c>
      <c r="O73" s="11"/>
      <c r="P73" s="11"/>
      <c r="Q73" s="11"/>
      <c r="R73" s="12" t="str">
        <f t="shared" si="54"/>
        <v>-</v>
      </c>
      <c r="S73" s="13" t="str">
        <f t="shared" si="55"/>
        <v>-</v>
      </c>
      <c r="T73" s="14">
        <f>IF(AND(H73="Modificar",SUM(J73:R73)=0),0.25,IF(AND(H73="Dados de Código",AND(D73+E73=0,OR(C73="-",C73=""))),0.1,IF(H73="Eliminar",0.4,IF(H73="Perfectiva",0.3,IF(H73="Somente teste",0.15,IF(H73="Teste + Plano",0.2,IF(H73="Criar",1,IF(OR(AND(H73&lt;&gt;"Modificar",H73&lt;&gt;"Dados de Código"),M73="-",S73="-"),"-",IF(OR(I73="ALI",I73="AIE"),IF(LEFT(C73)&lt;&gt;"A","-",IF(AND(SUM(J73:L73)=0,SUM(O73:Q73)=0),IF(C73&lt;&gt;I73,0.4,"-"),IF(H73="Modificar",HLOOKUP(S73,{0,34,68,101;0.25,0.5,0.75,1},2),HLOOKUP(S73,{0,34,68,101;0.25,0.5,0.75,1},2)*0.1))),IF(OR(AND(I73&lt;&gt;"EE",I73&lt;&gt;"SE",I73&lt;&gt;"CE"),N73="-"),"-", IF(H73="Modificar",VLOOKUP(N73,{0,0.25,0.5,0.75;34,0.5,0.75,1;68,0.75,1,1;101,1,1,1},MATCH(S73,{0,68,101})+1),VLOOKUP(N73,{0,0.25,0.5,0.75;34,0.5,0.75,1;68,0.75,1,1;101,1,1,1},MATCH(S73,{0,68,101})+1)*0.1)))))))))))</f>
        <v>1</v>
      </c>
      <c r="U73" s="14" t="str">
        <f>IF(AND(H73="Modificar",D73+E73=0),F73,IF(OR(T73="-",AND(OR(H73="Perfectiva",H73="Somente teste",H73="Teste + Plano"),F73="-",I73=""),AND(H73="Eliminar",AND(C73&lt;&gt;I73,I73&lt;&gt;"-",I73&lt;&gt;""))),"-",IF(AND(H73="Criar",OR(AND(C73&lt;&gt;"",C73&lt;&gt;"-"),F73&lt;&gt;"-",I73="")),"X",IF(AND(A73&lt;&gt;"",H73&lt;&gt;"Eliminar",F73="-",T73&lt;&gt;0,J73+K73+L73+O73+P73+Q73=0),IF(OR(I73="ALI",I73="AIE"),"Baixo","Médio"),IF(AND(OR(M73="-",R73="-"),OR(H73="Criar",F73="-",AND(H73="Eliminar",J73+K73+L73+O73+P73+Q73&lt;&gt;0))),"-",IF(OR(H73="Perfectiva",H73="Eliminar",H73="Somente teste",H73="Teste + Plano"),F73,IF(OR(I73="ALI",I73="AIE"),IF(M73=0,"-",VLOOKUP(M73,{1,"Baixo","Baixo","Médio";2,"Baixo","Médio","Alto";6,"Médio","Alto","Alto"},MATCH(R73,{1,20,51})+1)),IF(I73="EE",VLOOKUP(M73,{0,"Baixo","Baixo","Médio";2,"Baixo","Médio","Alto";3,"Médio","Alto","Alto"},MATCH(R73,{1,5,16})+1),IF(OR(I73="SE",I73="CE"),IF(AND(M73=0,I73="CE"),IF(OR(H73="Perfectiva",H73="Eliminar",H73="Somente teste",H73="Teste + Plano",H73="Modificar"),F73,"-"),VLOOKUP(M73,{0,"Baixo","Baixo","Médio";2,"Baixo","Médio","Alto";4,"Médio","Alto","Alto"},MATCH(R73,{1,6,20})+1)),)))))))))</f>
        <v>Médio</v>
      </c>
      <c r="V73" s="14">
        <f>IF(OR(T73="-",U73="-",OR(AND(OR(I73="-",I73=""),OR(H73="Modificar",H73="Dados de Código")))),"-",IF(H73="Eliminar",G73*T73,IF(AND(OR(H73="Teste + Plano",H73="Somente teste"),F73&lt;&gt;"-"),(G73*0.5)*T73,T73*VLOOKUP(I73,{"ALI",7,10,15;"AIE",5,7,10;"EE",3,4,6;"SE",4,5,7;"CE",3,4,6},MATCH(U73,{"Baixo","Médio","Alto"},0)+1,FALSE))))</f>
        <v>5</v>
      </c>
      <c r="W73" s="15" t="s">
        <v>32</v>
      </c>
      <c r="X73" s="40"/>
      <c r="Y73" s="40"/>
      <c r="Z73" s="40"/>
      <c r="AA73" s="40"/>
      <c r="AB73" s="40"/>
      <c r="AC73" s="40"/>
      <c r="AD73" s="8"/>
      <c r="AE73" s="8"/>
    </row>
    <row r="74" spans="1:31" ht="39.950000000000003" customHeight="1" x14ac:dyDescent="0.2">
      <c r="A74" s="9" t="s">
        <v>91</v>
      </c>
      <c r="B74" s="9" t="s">
        <v>88</v>
      </c>
      <c r="C74" s="10" t="s">
        <v>70</v>
      </c>
      <c r="D74" s="11"/>
      <c r="E74" s="11"/>
      <c r="F74" s="12" t="str">
        <f>IF(OR(TRIM(A74)="",AND(E74=0,D74&lt;&gt;0)),"-",IF(AND(OR(C74="EE",C74="CE",C74="SE"),D74=0,E74=0), "Médio", IF(AND(OR(C74="ALI",C74="AIE"),D74=0,E74=0),"Baixo",IF(OR(C74="ALI",C74="AIE"),IF(D74=0,"-",VLOOKUP(D74,{1,"Baixo","Baixo","Médio";2,"Baixo","Médio","Alto";6,"Médio","Alto","Alto"},MATCH(E74,{1,20,51})+1)),IF(C74="EE",VLOOKUP(D74,{0,"Baixo","Baixo","Médio";2,"Baixo","Médio","Alto";3,"Médio","Alto","Alto"},MATCH(E74,{1,5,16})+1),IF(OR(C74="SE",C74="CE"),IF(AND(D74=0,C74="CE"),"-",VLOOKUP(D74,{0,"Baixo","Baixo","Médio";2,"Baixo","Médio","Alto";4,"Médio","Alto","Alto"},MATCH(E74,{1,6,20})+1)),"-"))))))</f>
        <v>-</v>
      </c>
      <c r="G74" s="13" t="str">
        <f>IF(F74="-","-",VLOOKUP(C74,{"ALI",7,10,15;"AIE",5,7,10;"EE",3,4,6;"SE",4,5,7;"CE",3,4,6},MATCH(F74,{"Baixo","Médio","Alto"},0)+1,FALSE))</f>
        <v>-</v>
      </c>
      <c r="H74" s="11" t="s">
        <v>77</v>
      </c>
      <c r="I74" s="15" t="s">
        <v>73</v>
      </c>
      <c r="J74" s="11"/>
      <c r="K74" s="11"/>
      <c r="L74" s="11"/>
      <c r="M74" s="12">
        <f t="shared" si="52"/>
        <v>0</v>
      </c>
      <c r="N74" s="13" t="str">
        <f t="shared" si="53"/>
        <v>-</v>
      </c>
      <c r="O74" s="11"/>
      <c r="P74" s="11"/>
      <c r="Q74" s="11"/>
      <c r="R74" s="12" t="str">
        <f t="shared" si="54"/>
        <v>-</v>
      </c>
      <c r="S74" s="13" t="str">
        <f t="shared" si="55"/>
        <v>-</v>
      </c>
      <c r="T74" s="14">
        <f>IF(AND(H74="Modificar",SUM(J74:R74)=0),0.25,IF(AND(H74="Dados de Código",AND(D74+E74=0,OR(C74="-",C74=""))),0.1,IF(H74="Eliminar",0.4,IF(H74="Perfectiva",0.3,IF(H74="Somente teste",0.15,IF(H74="Teste + Plano",0.2,IF(H74="Criar",1,IF(OR(AND(H74&lt;&gt;"Modificar",H74&lt;&gt;"Dados de Código"),M74="-",S74="-"),"-",IF(OR(I74="ALI",I74="AIE"),IF(LEFT(C74)&lt;&gt;"A","-",IF(AND(SUM(J74:L74)=0,SUM(O74:Q74)=0),IF(C74&lt;&gt;I74,0.4,"-"),IF(H74="Modificar",HLOOKUP(S74,{0,34,68,101;0.25,0.5,0.75,1},2),HLOOKUP(S74,{0,34,68,101;0.25,0.5,0.75,1},2)*0.1))),IF(OR(AND(I74&lt;&gt;"EE",I74&lt;&gt;"SE",I74&lt;&gt;"CE"),N74="-"),"-", IF(H74="Modificar",VLOOKUP(N74,{0,0.25,0.5,0.75;34,0.5,0.75,1;68,0.75,1,1;101,1,1,1},MATCH(S74,{0,68,101})+1),VLOOKUP(N74,{0,0.25,0.5,0.75;34,0.5,0.75,1;68,0.75,1,1;101,1,1,1},MATCH(S74,{0,68,101})+1)*0.1)))))))))))</f>
        <v>1</v>
      </c>
      <c r="U74" s="14" t="str">
        <f>IF(AND(H74="Modificar",D74+E74=0),F74,IF(OR(T74="-",AND(OR(H74="Perfectiva",H74="Somente teste",H74="Teste + Plano"),F74="-",I74=""),AND(H74="Eliminar",AND(C74&lt;&gt;I74,I74&lt;&gt;"-",I74&lt;&gt;""))),"-",IF(AND(H74="Criar",OR(AND(C74&lt;&gt;"",C74&lt;&gt;"-"),F74&lt;&gt;"-",I74="")),"X",IF(AND(A74&lt;&gt;"",H74&lt;&gt;"Eliminar",F74="-",T74&lt;&gt;0,J74+K74+L74+O74+P74+Q74=0),IF(OR(I74="ALI",I74="AIE"),"Baixo","Médio"),IF(AND(OR(M74="-",R74="-"),OR(H74="Criar",F74="-",AND(H74="Eliminar",J74+K74+L74+O74+P74+Q74&lt;&gt;0))),"-",IF(OR(H74="Perfectiva",H74="Eliminar",H74="Somente teste",H74="Teste + Plano"),F74,IF(OR(I74="ALI",I74="AIE"),IF(M74=0,"-",VLOOKUP(M74,{1,"Baixo","Baixo","Médio";2,"Baixo","Médio","Alto";6,"Médio","Alto","Alto"},MATCH(R74,{1,20,51})+1)),IF(I74="EE",VLOOKUP(M74,{0,"Baixo","Baixo","Médio";2,"Baixo","Médio","Alto";3,"Médio","Alto","Alto"},MATCH(R74,{1,5,16})+1),IF(OR(I74="SE",I74="CE"),IF(AND(M74=0,I74="CE"),IF(OR(H74="Perfectiva",H74="Eliminar",H74="Somente teste",H74="Teste + Plano",H74="Modificar"),F74,"-"),VLOOKUP(M74,{0,"Baixo","Baixo","Médio";2,"Baixo","Médio","Alto";4,"Médio","Alto","Alto"},MATCH(R74,{1,6,20})+1)),)))))))))</f>
        <v>Médio</v>
      </c>
      <c r="V74" s="14">
        <f>IF(OR(T74="-",U74="-",OR(AND(OR(I74="-",I74=""),OR(H74="Modificar",H74="Dados de Código")))),"-",IF(H74="Eliminar",G74*T74,IF(AND(OR(H74="Teste + Plano",H74="Somente teste"),F74&lt;&gt;"-"),(G74*0.5)*T74,T74*VLOOKUP(I74,{"ALI",7,10,15;"AIE",5,7,10;"EE",3,4,6;"SE",4,5,7;"CE",3,4,6},MATCH(U74,{"Baixo","Médio","Alto"},0)+1,FALSE))))</f>
        <v>5</v>
      </c>
      <c r="W74" s="15" t="s">
        <v>32</v>
      </c>
      <c r="X74" s="40"/>
      <c r="Y74" s="40"/>
      <c r="Z74" s="40"/>
      <c r="AA74" s="40"/>
      <c r="AB74" s="40"/>
      <c r="AC74" s="40"/>
      <c r="AD74" s="8"/>
      <c r="AE74" s="8"/>
    </row>
    <row r="75" spans="1:31" ht="39.950000000000003" customHeight="1" x14ac:dyDescent="0.2">
      <c r="A75" s="9" t="s">
        <v>151</v>
      </c>
      <c r="B75" s="9" t="s">
        <v>88</v>
      </c>
      <c r="C75" s="10" t="s">
        <v>70</v>
      </c>
      <c r="D75" s="11"/>
      <c r="E75" s="11"/>
      <c r="F75" s="12" t="str">
        <f>IF(OR(TRIM(A75)="",AND(E75=0,D75&lt;&gt;0)),"-",IF(AND(OR(C75="EE",C75="CE",C75="SE"),D75=0,E75=0), "Médio", IF(AND(OR(C75="ALI",C75="AIE"),D75=0,E75=0),"Baixo",IF(OR(C75="ALI",C75="AIE"),IF(D75=0,"-",VLOOKUP(D75,{1,"Baixo","Baixo","Médio";2,"Baixo","Médio","Alto";6,"Médio","Alto","Alto"},MATCH(E75,{1,20,51})+1)),IF(C75="EE",VLOOKUP(D75,{0,"Baixo","Baixo","Médio";2,"Baixo","Médio","Alto";3,"Médio","Alto","Alto"},MATCH(E75,{1,5,16})+1),IF(OR(C75="SE",C75="CE"),IF(AND(D75=0,C75="CE"),"-",VLOOKUP(D75,{0,"Baixo","Baixo","Médio";2,"Baixo","Médio","Alto";4,"Médio","Alto","Alto"},MATCH(E75,{1,6,20})+1)),"-"))))))</f>
        <v>-</v>
      </c>
      <c r="G75" s="13" t="str">
        <f>IF(F75="-","-",VLOOKUP(C75,{"ALI",7,10,15;"AIE",5,7,10;"EE",3,4,6;"SE",4,5,7;"CE",3,4,6},MATCH(F75,{"Baixo","Médio","Alto"},0)+1,FALSE))</f>
        <v>-</v>
      </c>
      <c r="H75" s="11" t="s">
        <v>77</v>
      </c>
      <c r="I75" s="15" t="s">
        <v>73</v>
      </c>
      <c r="J75" s="11"/>
      <c r="K75" s="11"/>
      <c r="L75" s="11"/>
      <c r="M75" s="12">
        <f t="shared" si="52"/>
        <v>0</v>
      </c>
      <c r="N75" s="13" t="str">
        <f t="shared" si="53"/>
        <v>-</v>
      </c>
      <c r="O75" s="11"/>
      <c r="P75" s="11"/>
      <c r="Q75" s="11"/>
      <c r="R75" s="12" t="str">
        <f t="shared" si="54"/>
        <v>-</v>
      </c>
      <c r="S75" s="13" t="str">
        <f t="shared" si="55"/>
        <v>-</v>
      </c>
      <c r="T75" s="14">
        <f>IF(AND(H75="Modificar",SUM(J75:R75)=0),0.25,IF(AND(H75="Dados de Código",AND(D75+E75=0,OR(C75="-",C75=""))),0.1,IF(H75="Eliminar",0.4,IF(H75="Perfectiva",0.3,IF(H75="Somente teste",0.15,IF(H75="Teste + Plano",0.2,IF(H75="Criar",1,IF(OR(AND(H75&lt;&gt;"Modificar",H75&lt;&gt;"Dados de Código"),M75="-",S75="-"),"-",IF(OR(I75="ALI",I75="AIE"),IF(LEFT(C75)&lt;&gt;"A","-",IF(AND(SUM(J75:L75)=0,SUM(O75:Q75)=0),IF(C75&lt;&gt;I75,0.4,"-"),IF(H75="Modificar",HLOOKUP(S75,{0,34,68,101;0.25,0.5,0.75,1},2),HLOOKUP(S75,{0,34,68,101;0.25,0.5,0.75,1},2)*0.1))),IF(OR(AND(I75&lt;&gt;"EE",I75&lt;&gt;"SE",I75&lt;&gt;"CE"),N75="-"),"-", IF(H75="Modificar",VLOOKUP(N75,{0,0.25,0.5,0.75;34,0.5,0.75,1;68,0.75,1,1;101,1,1,1},MATCH(S75,{0,68,101})+1),VLOOKUP(N75,{0,0.25,0.5,0.75;34,0.5,0.75,1;68,0.75,1,1;101,1,1,1},MATCH(S75,{0,68,101})+1)*0.1)))))))))))</f>
        <v>1</v>
      </c>
      <c r="U75" s="14" t="str">
        <f>IF(AND(H75="Modificar",D75+E75=0),F75,IF(OR(T75="-",AND(OR(H75="Perfectiva",H75="Somente teste",H75="Teste + Plano"),F75="-",I75=""),AND(H75="Eliminar",AND(C75&lt;&gt;I75,I75&lt;&gt;"-",I75&lt;&gt;""))),"-",IF(AND(H75="Criar",OR(AND(C75&lt;&gt;"",C75&lt;&gt;"-"),F75&lt;&gt;"-",I75="")),"X",IF(AND(A75&lt;&gt;"",H75&lt;&gt;"Eliminar",F75="-",T75&lt;&gt;0,J75+K75+L75+O75+P75+Q75=0),IF(OR(I75="ALI",I75="AIE"),"Baixo","Médio"),IF(AND(OR(M75="-",R75="-"),OR(H75="Criar",F75="-",AND(H75="Eliminar",J75+K75+L75+O75+P75+Q75&lt;&gt;0))),"-",IF(OR(H75="Perfectiva",H75="Eliminar",H75="Somente teste",H75="Teste + Plano"),F75,IF(OR(I75="ALI",I75="AIE"),IF(M75=0,"-",VLOOKUP(M75,{1,"Baixo","Baixo","Médio";2,"Baixo","Médio","Alto";6,"Médio","Alto","Alto"},MATCH(R75,{1,20,51})+1)),IF(I75="EE",VLOOKUP(M75,{0,"Baixo","Baixo","Médio";2,"Baixo","Médio","Alto";3,"Médio","Alto","Alto"},MATCH(R75,{1,5,16})+1),IF(OR(I75="SE",I75="CE"),IF(AND(M75=0,I75="CE"),IF(OR(H75="Perfectiva",H75="Eliminar",H75="Somente teste",H75="Teste + Plano",H75="Modificar"),F75,"-"),VLOOKUP(M75,{0,"Baixo","Baixo","Médio";2,"Baixo","Médio","Alto";4,"Médio","Alto","Alto"},MATCH(R75,{1,6,20})+1)),)))))))))</f>
        <v>Médio</v>
      </c>
      <c r="V75" s="14">
        <f>IF(OR(T75="-",U75="-",OR(AND(OR(I75="-",I75=""),OR(H75="Modificar",H75="Dados de Código")))),"-",IF(H75="Eliminar",G75*T75,IF(AND(OR(H75="Teste + Plano",H75="Somente teste"),F75&lt;&gt;"-"),(G75*0.5)*T75,T75*VLOOKUP(I75,{"ALI",7,10,15;"AIE",5,7,10;"EE",3,4,6;"SE",4,5,7;"CE",3,4,6},MATCH(U75,{"Baixo","Médio","Alto"},0)+1,FALSE))))</f>
        <v>5</v>
      </c>
      <c r="W75" s="15" t="s">
        <v>32</v>
      </c>
      <c r="X75" s="40"/>
      <c r="Y75" s="40"/>
      <c r="Z75" s="40"/>
      <c r="AA75" s="40"/>
      <c r="AB75" s="40"/>
      <c r="AC75" s="40"/>
      <c r="AD75" s="8"/>
      <c r="AE75" s="8"/>
    </row>
    <row r="76" spans="1:31" ht="39.950000000000003" customHeight="1" x14ac:dyDescent="0.2">
      <c r="A76" s="9" t="s">
        <v>166</v>
      </c>
      <c r="B76" s="9" t="s">
        <v>88</v>
      </c>
      <c r="C76" s="10" t="s">
        <v>70</v>
      </c>
      <c r="D76" s="11"/>
      <c r="E76" s="11"/>
      <c r="F76" s="12" t="str">
        <f>IF(OR(TRIM(A76)="",AND(E76=0,D76&lt;&gt;0)),"-",IF(AND(OR(C76="EE",C76="CE",C76="SE"),D76=0,E76=0), "Médio", IF(AND(OR(C76="ALI",C76="AIE"),D76=0,E76=0),"Baixo",IF(OR(C76="ALI",C76="AIE"),IF(D76=0,"-",VLOOKUP(D76,{1,"Baixo","Baixo","Médio";2,"Baixo","Médio","Alto";6,"Médio","Alto","Alto"},MATCH(E76,{1,20,51})+1)),IF(C76="EE",VLOOKUP(D76,{0,"Baixo","Baixo","Médio";2,"Baixo","Médio","Alto";3,"Médio","Alto","Alto"},MATCH(E76,{1,5,16})+1),IF(OR(C76="SE",C76="CE"),IF(AND(D76=0,C76="CE"),"-",VLOOKUP(D76,{0,"Baixo","Baixo","Médio";2,"Baixo","Médio","Alto";4,"Médio","Alto","Alto"},MATCH(E76,{1,6,20})+1)),"-"))))))</f>
        <v>-</v>
      </c>
      <c r="G76" s="13" t="str">
        <f>IF(F76="-","-",VLOOKUP(C76,{"ALI",7,10,15;"AIE",5,7,10;"EE",3,4,6;"SE",4,5,7;"CE",3,4,6},MATCH(F76,{"Baixo","Médio","Alto"},0)+1,FALSE))</f>
        <v>-</v>
      </c>
      <c r="H76" s="11" t="s">
        <v>77</v>
      </c>
      <c r="I76" s="15" t="s">
        <v>73</v>
      </c>
      <c r="J76" s="11"/>
      <c r="K76" s="11"/>
      <c r="L76" s="11"/>
      <c r="M76" s="12">
        <f t="shared" si="52"/>
        <v>0</v>
      </c>
      <c r="N76" s="13" t="str">
        <f t="shared" si="53"/>
        <v>-</v>
      </c>
      <c r="O76" s="11"/>
      <c r="P76" s="11"/>
      <c r="Q76" s="11"/>
      <c r="R76" s="12" t="str">
        <f t="shared" si="54"/>
        <v>-</v>
      </c>
      <c r="S76" s="13" t="str">
        <f t="shared" si="55"/>
        <v>-</v>
      </c>
      <c r="T76" s="14">
        <f>IF(AND(H76="Modificar",SUM(J76:R76)=0),0.25,IF(AND(H76="Dados de Código",AND(D76+E76=0,OR(C76="-",C76=""))),0.1,IF(H76="Eliminar",0.4,IF(H76="Perfectiva",0.3,IF(H76="Somente teste",0.15,IF(H76="Teste + Plano",0.2,IF(H76="Criar",1,IF(OR(AND(H76&lt;&gt;"Modificar",H76&lt;&gt;"Dados de Código"),M76="-",S76="-"),"-",IF(OR(I76="ALI",I76="AIE"),IF(LEFT(C76)&lt;&gt;"A","-",IF(AND(SUM(J76:L76)=0,SUM(O76:Q76)=0),IF(C76&lt;&gt;I76,0.4,"-"),IF(H76="Modificar",HLOOKUP(S76,{0,34,68,101;0.25,0.5,0.75,1},2),HLOOKUP(S76,{0,34,68,101;0.25,0.5,0.75,1},2)*0.1))),IF(OR(AND(I76&lt;&gt;"EE",I76&lt;&gt;"SE",I76&lt;&gt;"CE"),N76="-"),"-", IF(H76="Modificar",VLOOKUP(N76,{0,0.25,0.5,0.75;34,0.5,0.75,1;68,0.75,1,1;101,1,1,1},MATCH(S76,{0,68,101})+1),VLOOKUP(N76,{0,0.25,0.5,0.75;34,0.5,0.75,1;68,0.75,1,1;101,1,1,1},MATCH(S76,{0,68,101})+1)*0.1)))))))))))</f>
        <v>1</v>
      </c>
      <c r="U76" s="14" t="str">
        <f>IF(AND(H76="Modificar",D76+E76=0),F76,IF(OR(T76="-",AND(OR(H76="Perfectiva",H76="Somente teste",H76="Teste + Plano"),F76="-",I76=""),AND(H76="Eliminar",AND(C76&lt;&gt;I76,I76&lt;&gt;"-",I76&lt;&gt;""))),"-",IF(AND(H76="Criar",OR(AND(C76&lt;&gt;"",C76&lt;&gt;"-"),F76&lt;&gt;"-",I76="")),"X",IF(AND(A76&lt;&gt;"",H76&lt;&gt;"Eliminar",F76="-",T76&lt;&gt;0,J76+K76+L76+O76+P76+Q76=0),IF(OR(I76="ALI",I76="AIE"),"Baixo","Médio"),IF(AND(OR(M76="-",R76="-"),OR(H76="Criar",F76="-",AND(H76="Eliminar",J76+K76+L76+O76+P76+Q76&lt;&gt;0))),"-",IF(OR(H76="Perfectiva",H76="Eliminar",H76="Somente teste",H76="Teste + Plano"),F76,IF(OR(I76="ALI",I76="AIE"),IF(M76=0,"-",VLOOKUP(M76,{1,"Baixo","Baixo","Médio";2,"Baixo","Médio","Alto";6,"Médio","Alto","Alto"},MATCH(R76,{1,20,51})+1)),IF(I76="EE",VLOOKUP(M76,{0,"Baixo","Baixo","Médio";2,"Baixo","Médio","Alto";3,"Médio","Alto","Alto"},MATCH(R76,{1,5,16})+1),IF(OR(I76="SE",I76="CE"),IF(AND(M76=0,I76="CE"),IF(OR(H76="Perfectiva",H76="Eliminar",H76="Somente teste",H76="Teste + Plano",H76="Modificar"),F76,"-"),VLOOKUP(M76,{0,"Baixo","Baixo","Médio";2,"Baixo","Médio","Alto";4,"Médio","Alto","Alto"},MATCH(R76,{1,6,20})+1)),)))))))))</f>
        <v>Médio</v>
      </c>
      <c r="V76" s="14">
        <f>IF(OR(T76="-",U76="-",OR(AND(OR(I76="-",I76=""),OR(H76="Modificar",H76="Dados de Código")))),"-",IF(H76="Eliminar",G76*T76,IF(AND(OR(H76="Teste + Plano",H76="Somente teste"),F76&lt;&gt;"-"),(G76*0.5)*T76,T76*VLOOKUP(I76,{"ALI",7,10,15;"AIE",5,7,10;"EE",3,4,6;"SE",4,5,7;"CE",3,4,6},MATCH(U76,{"Baixo","Médio","Alto"},0)+1,FALSE))))</f>
        <v>5</v>
      </c>
      <c r="W76" s="15" t="s">
        <v>32</v>
      </c>
      <c r="X76" s="40"/>
      <c r="Y76" s="40"/>
      <c r="Z76" s="40"/>
      <c r="AA76" s="40"/>
      <c r="AB76" s="40"/>
      <c r="AC76" s="40"/>
      <c r="AD76" s="8"/>
      <c r="AE76" s="8"/>
    </row>
    <row r="77" spans="1:31" ht="39.950000000000003" customHeight="1" x14ac:dyDescent="0.2">
      <c r="A77" s="9" t="s">
        <v>155</v>
      </c>
      <c r="B77" s="9" t="s">
        <v>88</v>
      </c>
      <c r="C77" s="10" t="s">
        <v>70</v>
      </c>
      <c r="D77" s="11"/>
      <c r="E77" s="11"/>
      <c r="F77" s="12" t="str">
        <f>IF(OR(TRIM(A77)="",AND(E77=0,D77&lt;&gt;0)),"-",IF(AND(OR(C77="EE",C77="CE",C77="SE"),D77=0,E77=0), "Médio", IF(AND(OR(C77="ALI",C77="AIE"),D77=0,E77=0),"Baixo",IF(OR(C77="ALI",C77="AIE"),IF(D77=0,"-",VLOOKUP(D77,{1,"Baixo","Baixo","Médio";2,"Baixo","Médio","Alto";6,"Médio","Alto","Alto"},MATCH(E77,{1,20,51})+1)),IF(C77="EE",VLOOKUP(D77,{0,"Baixo","Baixo","Médio";2,"Baixo","Médio","Alto";3,"Médio","Alto","Alto"},MATCH(E77,{1,5,16})+1),IF(OR(C77="SE",C77="CE"),IF(AND(D77=0,C77="CE"),"-",VLOOKUP(D77,{0,"Baixo","Baixo","Médio";2,"Baixo","Médio","Alto";4,"Médio","Alto","Alto"},MATCH(E77,{1,6,20})+1)),"-"))))))</f>
        <v>-</v>
      </c>
      <c r="G77" s="13" t="str">
        <f>IF(F77="-","-",VLOOKUP(C77,{"ALI",7,10,15;"AIE",5,7,10;"EE",3,4,6;"SE",4,5,7;"CE",3,4,6},MATCH(F77,{"Baixo","Médio","Alto"},0)+1,FALSE))</f>
        <v>-</v>
      </c>
      <c r="H77" s="11" t="s">
        <v>77</v>
      </c>
      <c r="I77" s="15" t="s">
        <v>73</v>
      </c>
      <c r="J77" s="11"/>
      <c r="K77" s="11"/>
      <c r="L77" s="11"/>
      <c r="M77" s="12">
        <f t="shared" si="52"/>
        <v>0</v>
      </c>
      <c r="N77" s="13" t="str">
        <f t="shared" si="53"/>
        <v>-</v>
      </c>
      <c r="O77" s="11"/>
      <c r="P77" s="11"/>
      <c r="Q77" s="11"/>
      <c r="R77" s="12" t="str">
        <f t="shared" si="54"/>
        <v>-</v>
      </c>
      <c r="S77" s="13" t="str">
        <f t="shared" si="55"/>
        <v>-</v>
      </c>
      <c r="T77" s="14">
        <f>IF(AND(H77="Modificar",SUM(J77:R77)=0),0.25,IF(AND(H77="Dados de Código",AND(D77+E77=0,OR(C77="-",C77=""))),0.1,IF(H77="Eliminar",0.4,IF(H77="Perfectiva",0.3,IF(H77="Somente teste",0.15,IF(H77="Teste + Plano",0.2,IF(H77="Criar",1,IF(OR(AND(H77&lt;&gt;"Modificar",H77&lt;&gt;"Dados de Código"),M77="-",S77="-"),"-",IF(OR(I77="ALI",I77="AIE"),IF(LEFT(C77)&lt;&gt;"A","-",IF(AND(SUM(J77:L77)=0,SUM(O77:Q77)=0),IF(C77&lt;&gt;I77,0.4,"-"),IF(H77="Modificar",HLOOKUP(S77,{0,34,68,101;0.25,0.5,0.75,1},2),HLOOKUP(S77,{0,34,68,101;0.25,0.5,0.75,1},2)*0.1))),IF(OR(AND(I77&lt;&gt;"EE",I77&lt;&gt;"SE",I77&lt;&gt;"CE"),N77="-"),"-", IF(H77="Modificar",VLOOKUP(N77,{0,0.25,0.5,0.75;34,0.5,0.75,1;68,0.75,1,1;101,1,1,1},MATCH(S77,{0,68,101})+1),VLOOKUP(N77,{0,0.25,0.5,0.75;34,0.5,0.75,1;68,0.75,1,1;101,1,1,1},MATCH(S77,{0,68,101})+1)*0.1)))))))))))</f>
        <v>1</v>
      </c>
      <c r="U77" s="14" t="str">
        <f>IF(AND(H77="Modificar",D77+E77=0),F77,IF(OR(T77="-",AND(OR(H77="Perfectiva",H77="Somente teste",H77="Teste + Plano"),F77="-",I77=""),AND(H77="Eliminar",AND(C77&lt;&gt;I77,I77&lt;&gt;"-",I77&lt;&gt;""))),"-",IF(AND(H77="Criar",OR(AND(C77&lt;&gt;"",C77&lt;&gt;"-"),F77&lt;&gt;"-",I77="")),"X",IF(AND(A77&lt;&gt;"",H77&lt;&gt;"Eliminar",F77="-",T77&lt;&gt;0,J77+K77+L77+O77+P77+Q77=0),IF(OR(I77="ALI",I77="AIE"),"Baixo","Médio"),IF(AND(OR(M77="-",R77="-"),OR(H77="Criar",F77="-",AND(H77="Eliminar",J77+K77+L77+O77+P77+Q77&lt;&gt;0))),"-",IF(OR(H77="Perfectiva",H77="Eliminar",H77="Somente teste",H77="Teste + Plano"),F77,IF(OR(I77="ALI",I77="AIE"),IF(M77=0,"-",VLOOKUP(M77,{1,"Baixo","Baixo","Médio";2,"Baixo","Médio","Alto";6,"Médio","Alto","Alto"},MATCH(R77,{1,20,51})+1)),IF(I77="EE",VLOOKUP(M77,{0,"Baixo","Baixo","Médio";2,"Baixo","Médio","Alto";3,"Médio","Alto","Alto"},MATCH(R77,{1,5,16})+1),IF(OR(I77="SE",I77="CE"),IF(AND(M77=0,I77="CE"),IF(OR(H77="Perfectiva",H77="Eliminar",H77="Somente teste",H77="Teste + Plano",H77="Modificar"),F77,"-"),VLOOKUP(M77,{0,"Baixo","Baixo","Médio";2,"Baixo","Médio","Alto";4,"Médio","Alto","Alto"},MATCH(R77,{1,6,20})+1)),)))))))))</f>
        <v>Médio</v>
      </c>
      <c r="V77" s="14">
        <f>IF(OR(T77="-",U77="-",OR(AND(OR(I77="-",I77=""),OR(H77="Modificar",H77="Dados de Código")))),"-",IF(H77="Eliminar",G77*T77,IF(AND(OR(H77="Teste + Plano",H77="Somente teste"),F77&lt;&gt;"-"),(G77*0.5)*T77,T77*VLOOKUP(I77,{"ALI",7,10,15;"AIE",5,7,10;"EE",3,4,6;"SE",4,5,7;"CE",3,4,6},MATCH(U77,{"Baixo","Médio","Alto"},0)+1,FALSE))))</f>
        <v>5</v>
      </c>
      <c r="W77" s="15" t="s">
        <v>32</v>
      </c>
      <c r="X77" s="40"/>
      <c r="Y77" s="40"/>
      <c r="Z77" s="40"/>
      <c r="AA77" s="40"/>
      <c r="AB77" s="40"/>
      <c r="AC77" s="40"/>
      <c r="AD77" s="8"/>
      <c r="AE77" s="8"/>
    </row>
    <row r="78" spans="1:31" ht="39.950000000000003" customHeight="1" x14ac:dyDescent="0.2">
      <c r="A78" s="9" t="s">
        <v>158</v>
      </c>
      <c r="B78" s="9" t="s">
        <v>88</v>
      </c>
      <c r="C78" s="10" t="s">
        <v>70</v>
      </c>
      <c r="D78" s="11"/>
      <c r="E78" s="11"/>
      <c r="F78" s="12" t="str">
        <f>IF(OR(TRIM(A78)="",AND(E78=0,D78&lt;&gt;0)),"-",IF(AND(OR(C78="EE",C78="CE",C78="SE"),D78=0,E78=0), "Médio", IF(AND(OR(C78="ALI",C78="AIE"),D78=0,E78=0),"Baixo",IF(OR(C78="ALI",C78="AIE"),IF(D78=0,"-",VLOOKUP(D78,{1,"Baixo","Baixo","Médio";2,"Baixo","Médio","Alto";6,"Médio","Alto","Alto"},MATCH(E78,{1,20,51})+1)),IF(C78="EE",VLOOKUP(D78,{0,"Baixo","Baixo","Médio";2,"Baixo","Médio","Alto";3,"Médio","Alto","Alto"},MATCH(E78,{1,5,16})+1),IF(OR(C78="SE",C78="CE"),IF(AND(D78=0,C78="CE"),"-",VLOOKUP(D78,{0,"Baixo","Baixo","Médio";2,"Baixo","Médio","Alto";4,"Médio","Alto","Alto"},MATCH(E78,{1,6,20})+1)),"-"))))))</f>
        <v>-</v>
      </c>
      <c r="G78" s="13" t="str">
        <f>IF(F78="-","-",VLOOKUP(C78,{"ALI",7,10,15;"AIE",5,7,10;"EE",3,4,6;"SE",4,5,7;"CE",3,4,6},MATCH(F78,{"Baixo","Médio","Alto"},0)+1,FALSE))</f>
        <v>-</v>
      </c>
      <c r="H78" s="11" t="s">
        <v>77</v>
      </c>
      <c r="I78" s="15" t="s">
        <v>73</v>
      </c>
      <c r="J78" s="11"/>
      <c r="K78" s="11"/>
      <c r="L78" s="11"/>
      <c r="M78" s="12">
        <f t="shared" si="52"/>
        <v>0</v>
      </c>
      <c r="N78" s="13" t="str">
        <f t="shared" si="53"/>
        <v>-</v>
      </c>
      <c r="O78" s="11"/>
      <c r="P78" s="11"/>
      <c r="Q78" s="11"/>
      <c r="R78" s="12" t="str">
        <f t="shared" si="54"/>
        <v>-</v>
      </c>
      <c r="S78" s="13" t="str">
        <f t="shared" si="55"/>
        <v>-</v>
      </c>
      <c r="T78" s="14">
        <f>IF(AND(H78="Modificar",SUM(J78:R78)=0),0.25,IF(AND(H78="Dados de Código",AND(D78+E78=0,OR(C78="-",C78=""))),0.1,IF(H78="Eliminar",0.4,IF(H78="Perfectiva",0.3,IF(H78="Somente teste",0.15,IF(H78="Teste + Plano",0.2,IF(H78="Criar",1,IF(OR(AND(H78&lt;&gt;"Modificar",H78&lt;&gt;"Dados de Código"),M78="-",S78="-"),"-",IF(OR(I78="ALI",I78="AIE"),IF(LEFT(C78)&lt;&gt;"A","-",IF(AND(SUM(J78:L78)=0,SUM(O78:Q78)=0),IF(C78&lt;&gt;I78,0.4,"-"),IF(H78="Modificar",HLOOKUP(S78,{0,34,68,101;0.25,0.5,0.75,1},2),HLOOKUP(S78,{0,34,68,101;0.25,0.5,0.75,1},2)*0.1))),IF(OR(AND(I78&lt;&gt;"EE",I78&lt;&gt;"SE",I78&lt;&gt;"CE"),N78="-"),"-", IF(H78="Modificar",VLOOKUP(N78,{0,0.25,0.5,0.75;34,0.5,0.75,1;68,0.75,1,1;101,1,1,1},MATCH(S78,{0,68,101})+1),VLOOKUP(N78,{0,0.25,0.5,0.75;34,0.5,0.75,1;68,0.75,1,1;101,1,1,1},MATCH(S78,{0,68,101})+1)*0.1)))))))))))</f>
        <v>1</v>
      </c>
      <c r="U78" s="14" t="str">
        <f>IF(AND(H78="Modificar",D78+E78=0),F78,IF(OR(T78="-",AND(OR(H78="Perfectiva",H78="Somente teste",H78="Teste + Plano"),F78="-",I78=""),AND(H78="Eliminar",AND(C78&lt;&gt;I78,I78&lt;&gt;"-",I78&lt;&gt;""))),"-",IF(AND(H78="Criar",OR(AND(C78&lt;&gt;"",C78&lt;&gt;"-"),F78&lt;&gt;"-",I78="")),"X",IF(AND(A78&lt;&gt;"",H78&lt;&gt;"Eliminar",F78="-",T78&lt;&gt;0,J78+K78+L78+O78+P78+Q78=0),IF(OR(I78="ALI",I78="AIE"),"Baixo","Médio"),IF(AND(OR(M78="-",R78="-"),OR(H78="Criar",F78="-",AND(H78="Eliminar",J78+K78+L78+O78+P78+Q78&lt;&gt;0))),"-",IF(OR(H78="Perfectiva",H78="Eliminar",H78="Somente teste",H78="Teste + Plano"),F78,IF(OR(I78="ALI",I78="AIE"),IF(M78=0,"-",VLOOKUP(M78,{1,"Baixo","Baixo","Médio";2,"Baixo","Médio","Alto";6,"Médio","Alto","Alto"},MATCH(R78,{1,20,51})+1)),IF(I78="EE",VLOOKUP(M78,{0,"Baixo","Baixo","Médio";2,"Baixo","Médio","Alto";3,"Médio","Alto","Alto"},MATCH(R78,{1,5,16})+1),IF(OR(I78="SE",I78="CE"),IF(AND(M78=0,I78="CE"),IF(OR(H78="Perfectiva",H78="Eliminar",H78="Somente teste",H78="Teste + Plano",H78="Modificar"),F78,"-"),VLOOKUP(M78,{0,"Baixo","Baixo","Médio";2,"Baixo","Médio","Alto";4,"Médio","Alto","Alto"},MATCH(R78,{1,6,20})+1)),)))))))))</f>
        <v>Médio</v>
      </c>
      <c r="V78" s="14">
        <f>IF(OR(T78="-",U78="-",OR(AND(OR(I78="-",I78=""),OR(H78="Modificar",H78="Dados de Código")))),"-",IF(H78="Eliminar",G78*T78,IF(AND(OR(H78="Teste + Plano",H78="Somente teste"),F78&lt;&gt;"-"),(G78*0.5)*T78,T78*VLOOKUP(I78,{"ALI",7,10,15;"AIE",5,7,10;"EE",3,4,6;"SE",4,5,7;"CE",3,4,6},MATCH(U78,{"Baixo","Médio","Alto"},0)+1,FALSE))))</f>
        <v>5</v>
      </c>
      <c r="W78" s="15" t="s">
        <v>32</v>
      </c>
      <c r="X78" s="40"/>
      <c r="Y78" s="40"/>
      <c r="Z78" s="40"/>
      <c r="AA78" s="40"/>
      <c r="AB78" s="40"/>
      <c r="AC78" s="40"/>
      <c r="AD78" s="8"/>
      <c r="AE78" s="8"/>
    </row>
    <row r="79" spans="1:31" ht="39.950000000000003" customHeight="1" x14ac:dyDescent="0.2">
      <c r="A79" s="9" t="s">
        <v>157</v>
      </c>
      <c r="B79" s="9" t="s">
        <v>88</v>
      </c>
      <c r="C79" s="10" t="s">
        <v>70</v>
      </c>
      <c r="D79" s="11"/>
      <c r="E79" s="11"/>
      <c r="F79" s="12" t="str">
        <f>IF(OR(TRIM(A79)="",AND(E79=0,D79&lt;&gt;0)),"-",IF(AND(OR(C79="EE",C79="CE",C79="SE"),D79=0,E79=0), "Médio", IF(AND(OR(C79="ALI",C79="AIE"),D79=0,E79=0),"Baixo",IF(OR(C79="ALI",C79="AIE"),IF(D79=0,"-",VLOOKUP(D79,{1,"Baixo","Baixo","Médio";2,"Baixo","Médio","Alto";6,"Médio","Alto","Alto"},MATCH(E79,{1,20,51})+1)),IF(C79="EE",VLOOKUP(D79,{0,"Baixo","Baixo","Médio";2,"Baixo","Médio","Alto";3,"Médio","Alto","Alto"},MATCH(E79,{1,5,16})+1),IF(OR(C79="SE",C79="CE"),IF(AND(D79=0,C79="CE"),"-",VLOOKUP(D79,{0,"Baixo","Baixo","Médio";2,"Baixo","Médio","Alto";4,"Médio","Alto","Alto"},MATCH(E79,{1,6,20})+1)),"-"))))))</f>
        <v>-</v>
      </c>
      <c r="G79" s="13" t="str">
        <f>IF(F79="-","-",VLOOKUP(C79,{"ALI",7,10,15;"AIE",5,7,10;"EE",3,4,6;"SE",4,5,7;"CE",3,4,6},MATCH(F79,{"Baixo","Médio","Alto"},0)+1,FALSE))</f>
        <v>-</v>
      </c>
      <c r="H79" s="11" t="s">
        <v>77</v>
      </c>
      <c r="I79" s="15" t="s">
        <v>73</v>
      </c>
      <c r="J79" s="11"/>
      <c r="K79" s="11"/>
      <c r="L79" s="11"/>
      <c r="M79" s="12">
        <f t="shared" si="52"/>
        <v>0</v>
      </c>
      <c r="N79" s="13" t="str">
        <f t="shared" si="53"/>
        <v>-</v>
      </c>
      <c r="O79" s="11"/>
      <c r="P79" s="11"/>
      <c r="Q79" s="11"/>
      <c r="R79" s="12" t="str">
        <f t="shared" si="54"/>
        <v>-</v>
      </c>
      <c r="S79" s="13" t="str">
        <f t="shared" si="55"/>
        <v>-</v>
      </c>
      <c r="T79" s="14">
        <f>IF(AND(H79="Modificar",SUM(J79:R79)=0),0.25,IF(AND(H79="Dados de Código",AND(D79+E79=0,OR(C79="-",C79=""))),0.1,IF(H79="Eliminar",0.4,IF(H79="Perfectiva",0.3,IF(H79="Somente teste",0.15,IF(H79="Teste + Plano",0.2,IF(H79="Criar",1,IF(OR(AND(H79&lt;&gt;"Modificar",H79&lt;&gt;"Dados de Código"),M79="-",S79="-"),"-",IF(OR(I79="ALI",I79="AIE"),IF(LEFT(C79)&lt;&gt;"A","-",IF(AND(SUM(J79:L79)=0,SUM(O79:Q79)=0),IF(C79&lt;&gt;I79,0.4,"-"),IF(H79="Modificar",HLOOKUP(S79,{0,34,68,101;0.25,0.5,0.75,1},2),HLOOKUP(S79,{0,34,68,101;0.25,0.5,0.75,1},2)*0.1))),IF(OR(AND(I79&lt;&gt;"EE",I79&lt;&gt;"SE",I79&lt;&gt;"CE"),N79="-"),"-", IF(H79="Modificar",VLOOKUP(N79,{0,0.25,0.5,0.75;34,0.5,0.75,1;68,0.75,1,1;101,1,1,1},MATCH(S79,{0,68,101})+1),VLOOKUP(N79,{0,0.25,0.5,0.75;34,0.5,0.75,1;68,0.75,1,1;101,1,1,1},MATCH(S79,{0,68,101})+1)*0.1)))))))))))</f>
        <v>1</v>
      </c>
      <c r="U79" s="14" t="str">
        <f>IF(AND(H79="Modificar",D79+E79=0),F79,IF(OR(T79="-",AND(OR(H79="Perfectiva",H79="Somente teste",H79="Teste + Plano"),F79="-",I79=""),AND(H79="Eliminar",AND(C79&lt;&gt;I79,I79&lt;&gt;"-",I79&lt;&gt;""))),"-",IF(AND(H79="Criar",OR(AND(C79&lt;&gt;"",C79&lt;&gt;"-"),F79&lt;&gt;"-",I79="")),"X",IF(AND(A79&lt;&gt;"",H79&lt;&gt;"Eliminar",F79="-",T79&lt;&gt;0,J79+K79+L79+O79+P79+Q79=0),IF(OR(I79="ALI",I79="AIE"),"Baixo","Médio"),IF(AND(OR(M79="-",R79="-"),OR(H79="Criar",F79="-",AND(H79="Eliminar",J79+K79+L79+O79+P79+Q79&lt;&gt;0))),"-",IF(OR(H79="Perfectiva",H79="Eliminar",H79="Somente teste",H79="Teste + Plano"),F79,IF(OR(I79="ALI",I79="AIE"),IF(M79=0,"-",VLOOKUP(M79,{1,"Baixo","Baixo","Médio";2,"Baixo","Médio","Alto";6,"Médio","Alto","Alto"},MATCH(R79,{1,20,51})+1)),IF(I79="EE",VLOOKUP(M79,{0,"Baixo","Baixo","Médio";2,"Baixo","Médio","Alto";3,"Médio","Alto","Alto"},MATCH(R79,{1,5,16})+1),IF(OR(I79="SE",I79="CE"),IF(AND(M79=0,I79="CE"),IF(OR(H79="Perfectiva",H79="Eliminar",H79="Somente teste",H79="Teste + Plano",H79="Modificar"),F79,"-"),VLOOKUP(M79,{0,"Baixo","Baixo","Médio";2,"Baixo","Médio","Alto";4,"Médio","Alto","Alto"},MATCH(R79,{1,6,20})+1)),)))))))))</f>
        <v>Médio</v>
      </c>
      <c r="V79" s="14">
        <f>IF(OR(T79="-",U79="-",OR(AND(OR(I79="-",I79=""),OR(H79="Modificar",H79="Dados de Código")))),"-",IF(H79="Eliminar",G79*T79,IF(AND(OR(H79="Teste + Plano",H79="Somente teste"),F79&lt;&gt;"-"),(G79*0.5)*T79,T79*VLOOKUP(I79,{"ALI",7,10,15;"AIE",5,7,10;"EE",3,4,6;"SE",4,5,7;"CE",3,4,6},MATCH(U79,{"Baixo","Médio","Alto"},0)+1,FALSE))))</f>
        <v>5</v>
      </c>
      <c r="W79" s="15" t="s">
        <v>32</v>
      </c>
      <c r="X79" s="40"/>
      <c r="Y79" s="40"/>
      <c r="Z79" s="40"/>
      <c r="AA79" s="40"/>
      <c r="AB79" s="40"/>
      <c r="AC79" s="40"/>
      <c r="AD79" s="8"/>
      <c r="AE79" s="8"/>
    </row>
    <row r="80" spans="1:31" ht="39.950000000000003" customHeight="1" x14ac:dyDescent="0.2">
      <c r="A80" s="9" t="s">
        <v>159</v>
      </c>
      <c r="B80" s="9" t="s">
        <v>88</v>
      </c>
      <c r="C80" s="10" t="s">
        <v>70</v>
      </c>
      <c r="D80" s="11"/>
      <c r="E80" s="11"/>
      <c r="F80" s="12" t="str">
        <f>IF(OR(TRIM(A80)="",AND(E80=0,D80&lt;&gt;0)),"-",IF(AND(OR(C80="EE",C80="CE",C80="SE"),D80=0,E80=0), "Médio", IF(AND(OR(C80="ALI",C80="AIE"),D80=0,E80=0),"Baixo",IF(OR(C80="ALI",C80="AIE"),IF(D80=0,"-",VLOOKUP(D80,{1,"Baixo","Baixo","Médio";2,"Baixo","Médio","Alto";6,"Médio","Alto","Alto"},MATCH(E80,{1,20,51})+1)),IF(C80="EE",VLOOKUP(D80,{0,"Baixo","Baixo","Médio";2,"Baixo","Médio","Alto";3,"Médio","Alto","Alto"},MATCH(E80,{1,5,16})+1),IF(OR(C80="SE",C80="CE"),IF(AND(D80=0,C80="CE"),"-",VLOOKUP(D80,{0,"Baixo","Baixo","Médio";2,"Baixo","Médio","Alto";4,"Médio","Alto","Alto"},MATCH(E80,{1,6,20})+1)),"-"))))))</f>
        <v>-</v>
      </c>
      <c r="G80" s="13" t="str">
        <f>IF(F80="-","-",VLOOKUP(C80,{"ALI",7,10,15;"AIE",5,7,10;"EE",3,4,6;"SE",4,5,7;"CE",3,4,6},MATCH(F80,{"Baixo","Médio","Alto"},0)+1,FALSE))</f>
        <v>-</v>
      </c>
      <c r="H80" s="11" t="s">
        <v>77</v>
      </c>
      <c r="I80" s="15" t="s">
        <v>73</v>
      </c>
      <c r="J80" s="11"/>
      <c r="K80" s="11"/>
      <c r="L80" s="11"/>
      <c r="M80" s="12">
        <f t="shared" si="52"/>
        <v>0</v>
      </c>
      <c r="N80" s="13" t="str">
        <f t="shared" si="53"/>
        <v>-</v>
      </c>
      <c r="O80" s="11"/>
      <c r="P80" s="11"/>
      <c r="Q80" s="11"/>
      <c r="R80" s="12" t="str">
        <f t="shared" si="54"/>
        <v>-</v>
      </c>
      <c r="S80" s="13" t="str">
        <f t="shared" si="55"/>
        <v>-</v>
      </c>
      <c r="T80" s="14">
        <f>IF(AND(H80="Modificar",SUM(J80:R80)=0),0.25,IF(AND(H80="Dados de Código",AND(D80+E80=0,OR(C80="-",C80=""))),0.1,IF(H80="Eliminar",0.4,IF(H80="Perfectiva",0.3,IF(H80="Somente teste",0.15,IF(H80="Teste + Plano",0.2,IF(H80="Criar",1,IF(OR(AND(H80&lt;&gt;"Modificar",H80&lt;&gt;"Dados de Código"),M80="-",S80="-"),"-",IF(OR(I80="ALI",I80="AIE"),IF(LEFT(C80)&lt;&gt;"A","-",IF(AND(SUM(J80:L80)=0,SUM(O80:Q80)=0),IF(C80&lt;&gt;I80,0.4,"-"),IF(H80="Modificar",HLOOKUP(S80,{0,34,68,101;0.25,0.5,0.75,1},2),HLOOKUP(S80,{0,34,68,101;0.25,0.5,0.75,1},2)*0.1))),IF(OR(AND(I80&lt;&gt;"EE",I80&lt;&gt;"SE",I80&lt;&gt;"CE"),N80="-"),"-", IF(H80="Modificar",VLOOKUP(N80,{0,0.25,0.5,0.75;34,0.5,0.75,1;68,0.75,1,1;101,1,1,1},MATCH(S80,{0,68,101})+1),VLOOKUP(N80,{0,0.25,0.5,0.75;34,0.5,0.75,1;68,0.75,1,1;101,1,1,1},MATCH(S80,{0,68,101})+1)*0.1)))))))))))</f>
        <v>1</v>
      </c>
      <c r="U80" s="14" t="str">
        <f>IF(AND(H80="Modificar",D80+E80=0),F80,IF(OR(T80="-",AND(OR(H80="Perfectiva",H80="Somente teste",H80="Teste + Plano"),F80="-",I80=""),AND(H80="Eliminar",AND(C80&lt;&gt;I80,I80&lt;&gt;"-",I80&lt;&gt;""))),"-",IF(AND(H80="Criar",OR(AND(C80&lt;&gt;"",C80&lt;&gt;"-"),F80&lt;&gt;"-",I80="")),"X",IF(AND(A80&lt;&gt;"",H80&lt;&gt;"Eliminar",F80="-",T80&lt;&gt;0,J80+K80+L80+O80+P80+Q80=0),IF(OR(I80="ALI",I80="AIE"),"Baixo","Médio"),IF(AND(OR(M80="-",R80="-"),OR(H80="Criar",F80="-",AND(H80="Eliminar",J80+K80+L80+O80+P80+Q80&lt;&gt;0))),"-",IF(OR(H80="Perfectiva",H80="Eliminar",H80="Somente teste",H80="Teste + Plano"),F80,IF(OR(I80="ALI",I80="AIE"),IF(M80=0,"-",VLOOKUP(M80,{1,"Baixo","Baixo","Médio";2,"Baixo","Médio","Alto";6,"Médio","Alto","Alto"},MATCH(R80,{1,20,51})+1)),IF(I80="EE",VLOOKUP(M80,{0,"Baixo","Baixo","Médio";2,"Baixo","Médio","Alto";3,"Médio","Alto","Alto"},MATCH(R80,{1,5,16})+1),IF(OR(I80="SE",I80="CE"),IF(AND(M80=0,I80="CE"),IF(OR(H80="Perfectiva",H80="Eliminar",H80="Somente teste",H80="Teste + Plano",H80="Modificar"),F80,"-"),VLOOKUP(M80,{0,"Baixo","Baixo","Médio";2,"Baixo","Médio","Alto";4,"Médio","Alto","Alto"},MATCH(R80,{1,6,20})+1)),)))))))))</f>
        <v>Médio</v>
      </c>
      <c r="V80" s="14">
        <f>IF(OR(T80="-",U80="-",OR(AND(OR(I80="-",I80=""),OR(H80="Modificar",H80="Dados de Código")))),"-",IF(H80="Eliminar",G80*T80,IF(AND(OR(H80="Teste + Plano",H80="Somente teste"),F80&lt;&gt;"-"),(G80*0.5)*T80,T80*VLOOKUP(I80,{"ALI",7,10,15;"AIE",5,7,10;"EE",3,4,6;"SE",4,5,7;"CE",3,4,6},MATCH(U80,{"Baixo","Médio","Alto"},0)+1,FALSE))))</f>
        <v>5</v>
      </c>
      <c r="W80" s="15" t="s">
        <v>32</v>
      </c>
      <c r="X80" s="40"/>
      <c r="Y80" s="40"/>
      <c r="Z80" s="40"/>
      <c r="AA80" s="40"/>
      <c r="AB80" s="40"/>
      <c r="AC80" s="40"/>
      <c r="AD80" s="8"/>
      <c r="AE80" s="8"/>
    </row>
    <row r="81" spans="1:31" ht="39.950000000000003" customHeight="1" x14ac:dyDescent="0.2">
      <c r="A81" s="9" t="s">
        <v>164</v>
      </c>
      <c r="B81" s="9" t="s">
        <v>88</v>
      </c>
      <c r="C81" s="10" t="s">
        <v>70</v>
      </c>
      <c r="D81" s="11"/>
      <c r="E81" s="11"/>
      <c r="F81" s="12" t="str">
        <f>IF(OR(TRIM(A81)="",AND(E81=0,D81&lt;&gt;0)),"-",IF(AND(OR(C81="EE",C81="CE",C81="SE"),D81=0,E81=0), "Médio", IF(AND(OR(C81="ALI",C81="AIE"),D81=0,E81=0),"Baixo",IF(OR(C81="ALI",C81="AIE"),IF(D81=0,"-",VLOOKUP(D81,{1,"Baixo","Baixo","Médio";2,"Baixo","Médio","Alto";6,"Médio","Alto","Alto"},MATCH(E81,{1,20,51})+1)),IF(C81="EE",VLOOKUP(D81,{0,"Baixo","Baixo","Médio";2,"Baixo","Médio","Alto";3,"Médio","Alto","Alto"},MATCH(E81,{1,5,16})+1),IF(OR(C81="SE",C81="CE"),IF(AND(D81=0,C81="CE"),"-",VLOOKUP(D81,{0,"Baixo","Baixo","Médio";2,"Baixo","Médio","Alto";4,"Médio","Alto","Alto"},MATCH(E81,{1,6,20})+1)),"-"))))))</f>
        <v>-</v>
      </c>
      <c r="G81" s="13" t="str">
        <f>IF(F81="-","-",VLOOKUP(C81,{"ALI",7,10,15;"AIE",5,7,10;"EE",3,4,6;"SE",4,5,7;"CE",3,4,6},MATCH(F81,{"Baixo","Médio","Alto"},0)+1,FALSE))</f>
        <v>-</v>
      </c>
      <c r="H81" s="11" t="s">
        <v>77</v>
      </c>
      <c r="I81" s="15" t="s">
        <v>73</v>
      </c>
      <c r="J81" s="11"/>
      <c r="K81" s="11"/>
      <c r="L81" s="11"/>
      <c r="M81" s="12">
        <f t="shared" si="52"/>
        <v>0</v>
      </c>
      <c r="N81" s="13" t="str">
        <f t="shared" si="53"/>
        <v>-</v>
      </c>
      <c r="O81" s="11"/>
      <c r="P81" s="11"/>
      <c r="Q81" s="11"/>
      <c r="R81" s="12" t="str">
        <f t="shared" si="54"/>
        <v>-</v>
      </c>
      <c r="S81" s="13" t="str">
        <f t="shared" si="55"/>
        <v>-</v>
      </c>
      <c r="T81" s="14">
        <f>IF(AND(H81="Modificar",SUM(J81:R81)=0),0.25,IF(AND(H81="Dados de Código",AND(D81+E81=0,OR(C81="-",C81=""))),0.1,IF(H81="Eliminar",0.4,IF(H81="Perfectiva",0.3,IF(H81="Somente teste",0.15,IF(H81="Teste + Plano",0.2,IF(H81="Criar",1,IF(OR(AND(H81&lt;&gt;"Modificar",H81&lt;&gt;"Dados de Código"),M81="-",S81="-"),"-",IF(OR(I81="ALI",I81="AIE"),IF(LEFT(C81)&lt;&gt;"A","-",IF(AND(SUM(J81:L81)=0,SUM(O81:Q81)=0),IF(C81&lt;&gt;I81,0.4,"-"),IF(H81="Modificar",HLOOKUP(S81,{0,34,68,101;0.25,0.5,0.75,1},2),HLOOKUP(S81,{0,34,68,101;0.25,0.5,0.75,1},2)*0.1))),IF(OR(AND(I81&lt;&gt;"EE",I81&lt;&gt;"SE",I81&lt;&gt;"CE"),N81="-"),"-", IF(H81="Modificar",VLOOKUP(N81,{0,0.25,0.5,0.75;34,0.5,0.75,1;68,0.75,1,1;101,1,1,1},MATCH(S81,{0,68,101})+1),VLOOKUP(N81,{0,0.25,0.5,0.75;34,0.5,0.75,1;68,0.75,1,1;101,1,1,1},MATCH(S81,{0,68,101})+1)*0.1)))))))))))</f>
        <v>1</v>
      </c>
      <c r="U81" s="14" t="str">
        <f>IF(AND(H81="Modificar",D81+E81=0),F81,IF(OR(T81="-",AND(OR(H81="Perfectiva",H81="Somente teste",H81="Teste + Plano"),F81="-",I81=""),AND(H81="Eliminar",AND(C81&lt;&gt;I81,I81&lt;&gt;"-",I81&lt;&gt;""))),"-",IF(AND(H81="Criar",OR(AND(C81&lt;&gt;"",C81&lt;&gt;"-"),F81&lt;&gt;"-",I81="")),"X",IF(AND(A81&lt;&gt;"",H81&lt;&gt;"Eliminar",F81="-",T81&lt;&gt;0,J81+K81+L81+O81+P81+Q81=0),IF(OR(I81="ALI",I81="AIE"),"Baixo","Médio"),IF(AND(OR(M81="-",R81="-"),OR(H81="Criar",F81="-",AND(H81="Eliminar",J81+K81+L81+O81+P81+Q81&lt;&gt;0))),"-",IF(OR(H81="Perfectiva",H81="Eliminar",H81="Somente teste",H81="Teste + Plano"),F81,IF(OR(I81="ALI",I81="AIE"),IF(M81=0,"-",VLOOKUP(M81,{1,"Baixo","Baixo","Médio";2,"Baixo","Médio","Alto";6,"Médio","Alto","Alto"},MATCH(R81,{1,20,51})+1)),IF(I81="EE",VLOOKUP(M81,{0,"Baixo","Baixo","Médio";2,"Baixo","Médio","Alto";3,"Médio","Alto","Alto"},MATCH(R81,{1,5,16})+1),IF(OR(I81="SE",I81="CE"),IF(AND(M81=0,I81="CE"),IF(OR(H81="Perfectiva",H81="Eliminar",H81="Somente teste",H81="Teste + Plano",H81="Modificar"),F81,"-"),VLOOKUP(M81,{0,"Baixo","Baixo","Médio";2,"Baixo","Médio","Alto";4,"Médio","Alto","Alto"},MATCH(R81,{1,6,20})+1)),)))))))))</f>
        <v>Médio</v>
      </c>
      <c r="V81" s="14">
        <f>IF(OR(T81="-",U81="-",OR(AND(OR(I81="-",I81=""),OR(H81="Modificar",H81="Dados de Código")))),"-",IF(H81="Eliminar",G81*T81,IF(AND(OR(H81="Teste + Plano",H81="Somente teste"),F81&lt;&gt;"-"),(G81*0.5)*T81,T81*VLOOKUP(I81,{"ALI",7,10,15;"AIE",5,7,10;"EE",3,4,6;"SE",4,5,7;"CE",3,4,6},MATCH(U81,{"Baixo","Médio","Alto"},0)+1,FALSE))))</f>
        <v>5</v>
      </c>
      <c r="W81" s="15" t="s">
        <v>32</v>
      </c>
      <c r="X81" s="40"/>
      <c r="Y81" s="40"/>
      <c r="Z81" s="40"/>
      <c r="AA81" s="40"/>
      <c r="AB81" s="40"/>
      <c r="AC81" s="40"/>
      <c r="AD81" s="8"/>
      <c r="AE81" s="8"/>
    </row>
    <row r="82" spans="1:31" ht="39.950000000000003" customHeight="1" x14ac:dyDescent="0.2">
      <c r="A82" s="9" t="s">
        <v>156</v>
      </c>
      <c r="B82" s="9" t="s">
        <v>88</v>
      </c>
      <c r="C82" s="10" t="s">
        <v>73</v>
      </c>
      <c r="D82" s="11"/>
      <c r="E82" s="11"/>
      <c r="F82" s="12" t="str">
        <f>IF(OR(TRIM(A82)="",AND(E82=0,D82&lt;&gt;0)),"-",IF(AND(OR(C82="EE",C82="CE",C82="SE"),D82=0,E82=0), "Médio", IF(AND(OR(C82="ALI",C82="AIE"),D82=0,E82=0),"Baixo",IF(OR(C82="ALI",C82="AIE"),IF(D82=0,"-",VLOOKUP(D82,{1,"Baixo","Baixo","Médio";2,"Baixo","Médio","Alto";6,"Médio","Alto","Alto"},MATCH(E82,{1,20,51})+1)),IF(C82="EE",VLOOKUP(D82,{0,"Baixo","Baixo","Médio";2,"Baixo","Médio","Alto";3,"Médio","Alto","Alto"},MATCH(E82,{1,5,16})+1),IF(OR(C82="SE",C82="CE"),IF(AND(D82=0,C82="CE"),"-",VLOOKUP(D82,{0,"Baixo","Baixo","Médio";2,"Baixo","Médio","Alto";4,"Médio","Alto","Alto"},MATCH(E82,{1,6,20})+1)),"-"))))))</f>
        <v>Médio</v>
      </c>
      <c r="G82" s="13">
        <f>IF(F82="-","-",VLOOKUP(C82,{"ALI",7,10,15;"AIE",5,7,10;"EE",3,4,6;"SE",4,5,7;"CE",3,4,6},MATCH(F82,{"Baixo","Médio","Alto"},0)+1,FALSE))</f>
        <v>5</v>
      </c>
      <c r="H82" s="11" t="s">
        <v>78</v>
      </c>
      <c r="I82" s="15" t="s">
        <v>73</v>
      </c>
      <c r="J82" s="11"/>
      <c r="K82" s="11"/>
      <c r="L82" s="11"/>
      <c r="M82" s="12">
        <f t="shared" si="52"/>
        <v>0</v>
      </c>
      <c r="N82" s="13">
        <f t="shared" si="53"/>
        <v>0</v>
      </c>
      <c r="O82" s="11"/>
      <c r="P82" s="11"/>
      <c r="Q82" s="11"/>
      <c r="R82" s="12" t="str">
        <f t="shared" si="54"/>
        <v>-</v>
      </c>
      <c r="S82" s="13" t="str">
        <f t="shared" si="55"/>
        <v>-</v>
      </c>
      <c r="T82" s="14">
        <f>IF(AND(H82="Modificar",SUM(J82:R82)=0),0.25,IF(AND(H82="Dados de Código",AND(D82+E82=0,OR(C82="-",C82=""))),0.1,IF(H82="Eliminar",0.4,IF(H82="Perfectiva",0.3,IF(H82="Somente teste",0.15,IF(H82="Teste + Plano",0.2,IF(H82="Criar",1,IF(OR(AND(H82&lt;&gt;"Modificar",H82&lt;&gt;"Dados de Código"),M82="-",S82="-"),"-",IF(OR(I82="ALI",I82="AIE"),IF(LEFT(C82)&lt;&gt;"A","-",IF(AND(SUM(J82:L82)=0,SUM(O82:Q82)=0),IF(C82&lt;&gt;I82,0.4,"-"),IF(H82="Modificar",HLOOKUP(S82,{0,34,68,101;0.25,0.5,0.75,1},2),HLOOKUP(S82,{0,34,68,101;0.25,0.5,0.75,1},2)*0.1))),IF(OR(AND(I82&lt;&gt;"EE",I82&lt;&gt;"SE",I82&lt;&gt;"CE"),N82="-"),"-", IF(H82="Modificar",VLOOKUP(N82,{0,0.25,0.5,0.75;34,0.5,0.75,1;68,0.75,1,1;101,1,1,1},MATCH(S82,{0,68,101})+1),VLOOKUP(N82,{0,0.25,0.5,0.75;34,0.5,0.75,1;68,0.75,1,1;101,1,1,1},MATCH(S82,{0,68,101})+1)*0.1)))))))))))</f>
        <v>0.25</v>
      </c>
      <c r="U82" s="14" t="str">
        <f>IF(AND(H82="Modificar",D82+E82=0),F82,IF(OR(T82="-",AND(OR(H82="Perfectiva",H82="Somente teste",H82="Teste + Plano"),F82="-",I82=""),AND(H82="Eliminar",AND(C82&lt;&gt;I82,I82&lt;&gt;"-",I82&lt;&gt;""))),"-",IF(AND(H82="Criar",OR(AND(C82&lt;&gt;"",C82&lt;&gt;"-"),F82&lt;&gt;"-",I82="")),"X",IF(AND(A82&lt;&gt;"",H82&lt;&gt;"Eliminar",F82="-",T82&lt;&gt;0,J82+K82+L82+O82+P82+Q82=0),IF(OR(I82="ALI",I82="AIE"),"Baixo","Médio"),IF(AND(OR(M82="-",R82="-"),OR(H82="Criar",F82="-",AND(H82="Eliminar",J82+K82+L82+O82+P82+Q82&lt;&gt;0))),"-",IF(OR(H82="Perfectiva",H82="Eliminar",H82="Somente teste",H82="Teste + Plano"),F82,IF(OR(I82="ALI",I82="AIE"),IF(M82=0,"-",VLOOKUP(M82,{1,"Baixo","Baixo","Médio";2,"Baixo","Médio","Alto";6,"Médio","Alto","Alto"},MATCH(R82,{1,20,51})+1)),IF(I82="EE",VLOOKUP(M82,{0,"Baixo","Baixo","Médio";2,"Baixo","Médio","Alto";3,"Médio","Alto","Alto"},MATCH(R82,{1,5,16})+1),IF(OR(I82="SE",I82="CE"),IF(AND(M82=0,I82="CE"),IF(OR(H82="Perfectiva",H82="Eliminar",H82="Somente teste",H82="Teste + Plano",H82="Modificar"),F82,"-"),VLOOKUP(M82,{0,"Baixo","Baixo","Médio";2,"Baixo","Médio","Alto";4,"Médio","Alto","Alto"},MATCH(R82,{1,6,20})+1)),)))))))))</f>
        <v>Médio</v>
      </c>
      <c r="V82" s="14">
        <f>IF(OR(T82="-",U82="-",OR(AND(OR(I82="-",I82=""),OR(H82="Modificar",H82="Dados de Código")))),"-",IF(H82="Eliminar",G82*T82,IF(AND(OR(H82="Teste + Plano",H82="Somente teste"),F82&lt;&gt;"-"),(G82*0.5)*T82,T82*VLOOKUP(I82,{"ALI",7,10,15;"AIE",5,7,10;"EE",3,4,6;"SE",4,5,7;"CE",3,4,6},MATCH(U82,{"Baixo","Médio","Alto"},0)+1,FALSE))))</f>
        <v>1.25</v>
      </c>
      <c r="W82" s="15" t="s">
        <v>32</v>
      </c>
      <c r="X82" s="40"/>
      <c r="Y82" s="40"/>
      <c r="Z82" s="40"/>
      <c r="AA82" s="40"/>
      <c r="AB82" s="40"/>
      <c r="AC82" s="40"/>
      <c r="AD82" s="8"/>
      <c r="AE82" s="8"/>
    </row>
    <row r="83" spans="1:31" ht="39.950000000000003" customHeight="1" x14ac:dyDescent="0.2">
      <c r="A83" s="85" t="s">
        <v>83</v>
      </c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</row>
    <row r="84" spans="1:31" ht="40.15" hidden="1" customHeight="1" x14ac:dyDescent="0.2">
      <c r="A84" s="9"/>
      <c r="B84" s="9"/>
      <c r="C84" s="10" t="s">
        <v>70</v>
      </c>
      <c r="D84" s="11"/>
      <c r="E84" s="11"/>
      <c r="F84" s="12" t="str">
        <f>IF(OR(TRIM(A84)="",AND(E84=0,D84&lt;&gt;0)),"-",IF(AND(OR(C84="EE",C84="CE",C84="SE"),D84=0,E84=0), "Médio", IF(AND(OR(C84="ALI",C84="AIE"),D84=0,E84=0),"Baixo",IF(OR(C84="ALI",C84="AIE"),IF(D84=0,"-",VLOOKUP(D84,{1,"Baixo","Baixo","Médio";2,"Baixo","Médio","Alto";6,"Médio","Alto","Alto"},MATCH(E84,{1,20,51})+1)),IF(C84="EE",VLOOKUP(D84,{0,"Baixo","Baixo","Médio";2,"Baixo","Médio","Alto";3,"Médio","Alto","Alto"},MATCH(E84,{1,5,16})+1),IF(OR(C84="SE",C84="CE"),IF(AND(D84=0,C84="CE"),"-",VLOOKUP(D84,{0,"Baixo","Baixo","Médio";2,"Baixo","Médio","Alto";4,"Médio","Alto","Alto"},MATCH(E84,{1,6,20})+1)),"-"))))))</f>
        <v>-</v>
      </c>
      <c r="G84" s="13" t="str">
        <f>IF(F84="-","-",VLOOKUP(C84,{"ALI",7,10,15;"AIE",5,7,10;"EE",3,4,6;"SE",4,5,7;"CE",3,4,6},MATCH(F84,{"Baixo","Médio","Alto"},0)+1,FALSE))</f>
        <v>-</v>
      </c>
      <c r="H84" s="11" t="str">
        <f>IF(G84="-","-","Modificar")</f>
        <v>-</v>
      </c>
      <c r="I84" s="15" t="str">
        <f>IF(G84="-","-",C84)</f>
        <v>-</v>
      </c>
      <c r="J84" s="11"/>
      <c r="K84" s="11"/>
      <c r="L84" s="11"/>
      <c r="M84" s="12" t="str">
        <f t="shared" ref="M84" si="56">IF(OR(TRIM(A84)="",AND(OR(D84&lt;&gt;0,G84&lt;&gt;"-"),H84="Criar"),AND(G84="-",H84&lt;&gt;"Criar",H84&lt;&gt;"Dados de Código"),AND(H84="Eliminar",OR(C84&lt;&gt;I84,SUM(J84:L84)&lt;&gt;0)),AND(OR(H84="Modificar",H84="Perfectiva",H84="Somente teste",H84="Teste + Plano"),OR(AND(OR(C84="ALI",C84="AIE"),AND(I84&lt;&gt;"ALI",I84&lt;&gt;"AIE")),AND(OR(C84="EE",C84="SE",C84="CE"),AND(I84&lt;&gt;"EE",I84&lt;&gt;"SE",I84&lt;&gt;"CE")))),(D84+J84-L84)&lt;0,(D84-K84-L84)&lt;0,AND((D84+J84-L84)=0,I84&lt;&gt;"EE",I84&lt;&gt;"SE")),"-",IF(AND(H84&lt;&gt;"Perfectiva",H84&lt;&gt;"Somente teste",H84&lt;&gt;"Teste + Plano"),D84+J84-L84,D84))</f>
        <v>-</v>
      </c>
      <c r="N84" s="13" t="str">
        <f t="shared" ref="N84" si="57">IF(OR(M84="-",AND(H84&lt;&gt;"Modificar",H84&lt;&gt;"Dados de Código"),AND(H84="Dados de Código",OR(F84="-",D84+E84=0)),AND(I84&lt;&gt;"EE",I84&lt;&gt;"SE",I84&lt;&gt;"CE")),"-",IF(D84=0,IF(M84=0,0,100),INT(SUM(J84:L84)/D84*100)))</f>
        <v>-</v>
      </c>
      <c r="O84" s="11"/>
      <c r="P84" s="11"/>
      <c r="Q84" s="11"/>
      <c r="R84" s="12" t="str">
        <f t="shared" ref="R84" si="58">IF(OR(TRIM(A84)="",AND(OR(G84&lt;&gt;"-",E84&lt;&gt;0),H84="Criar"),AND(OR(G84="-", D84+E84=0),H84&lt;&gt;"Criar",H84&lt;&gt;"Dados de Código"), AND(H84="Eliminar",OR(C84&lt;&gt;I84,SUM(O84:Q84)&lt;&gt;0)),AND(OR(H84="Modificar",H84="Perfectiva",H84="Somente teste",H84="Teste + Plano"),OR(AND(OR(C84="ALI",C84="AIE"),AND(I84&lt;&gt;"ALI",I84&lt;&gt;"AIE")),AND(OR(C84="EE",C84="SE",C84="CE"),AND(I84&lt;&gt;"EE",I84&lt;&gt;"SE",I84&lt;&gt;"CE")))),(E84+O84-Q84)&lt;=0,(E84-P84-Q84)&lt;0),"-",IF(AND(H84&lt;&gt;"Perfectiva",H84&lt;&gt;"Somente teste",H84&lt;&gt;"Teste + Plano"),E84+O84-Q84,E84))</f>
        <v>-</v>
      </c>
      <c r="S84" s="13" t="str">
        <f t="shared" ref="S84" si="59">IF(OR(R84="-",AND(H84&lt;&gt;"Modificar",H84&lt;&gt;"Dados de Código"),AND(H84="Dados de Código",OR(F84="-",D84+E84=0))),"-",INT(SUM(O84:Q84)/E84*100))</f>
        <v>-</v>
      </c>
      <c r="T84" s="14" t="str">
        <f>IF(AND(H84="Modificar",SUM(J84:R84)=0),0.25,IF(AND(H84="Dados de Código",AND(D84+E84=0,OR(C84="-",C84=""))),0.1,IF(H84="Eliminar",0.4,IF(H84="Perfectiva",0.3,IF(H84="Somente teste",0.15,IF(H84="Teste + Plano",0.2,IF(H84="Criar",1,IF(OR(AND(H84&lt;&gt;"Modificar",H84&lt;&gt;"Dados de Código"),M84="-",S84="-"),"-",IF(OR(I84="ALI",I84="AIE"),IF(LEFT(C84)&lt;&gt;"A","-",IF(AND(SUM(J84:L84)=0,SUM(O84:Q84)=0),IF(C84&lt;&gt;I84,0.4,"-"),IF(H84="Modificar",HLOOKUP(S84,{0,34,68,101;0.25,0.5,0.75,1},2),HLOOKUP(S84,{0,34,68,101;0.25,0.5,0.75,1},2)*0.1))),IF(OR(AND(I84&lt;&gt;"EE",I84&lt;&gt;"SE",I84&lt;&gt;"CE"),N84="-"),"-", IF(H84="Modificar",VLOOKUP(N84,{0,0.25,0.5,0.75;34,0.5,0.75,1;68,0.75,1,1;101,1,1,1},MATCH(S84,{0,68,101})+1),VLOOKUP(N84,{0,0.25,0.5,0.75;34,0.5,0.75,1;68,0.75,1,1;101,1,1,1},MATCH(S84,{0,68,101})+1)*0.1)))))))))))</f>
        <v>-</v>
      </c>
      <c r="U84" s="14" t="str">
        <f>IF(AND(H84="Modificar",D84+E84=0),F84,IF(OR(T84="-",AND(OR(H84="Perfectiva",H84="Somente teste",H84="Teste + Plano"),F84="-",I84=""),AND(H84="Eliminar",AND(C84&lt;&gt;I84,I84&lt;&gt;"-",I84&lt;&gt;""))),"-",IF(AND(H84="Criar",OR(AND(C84&lt;&gt;"",C84&lt;&gt;"-"),F84&lt;&gt;"-",I84="")),"X",IF(AND(A84&lt;&gt;"",H84&lt;&gt;"Eliminar",F84="-",T84&lt;&gt;0,J84+K84+L84+O84+P84+Q84=0),IF(OR(I84="ALI",I84="AIE"),"Baixo","Médio"),IF(AND(OR(M84="-",R84="-"),OR(H84="Criar",F84="-",AND(H84="Eliminar",J84+K84+L84+O84+P84+Q84&lt;&gt;0))),"-",IF(OR(H84="Perfectiva",H84="Eliminar",H84="Somente teste",H84="Teste + Plano"),F84,IF(OR(I84="ALI",I84="AIE"),IF(M84=0,"-",VLOOKUP(M84,{1,"Baixo","Baixo","Médio";2,"Baixo","Médio","Alto";6,"Médio","Alto","Alto"},MATCH(R84,{1,20,51})+1)),IF(I84="EE",VLOOKUP(M84,{0,"Baixo","Baixo","Médio";2,"Baixo","Médio","Alto";3,"Médio","Alto","Alto"},MATCH(R84,{1,5,16})+1),IF(OR(I84="SE",I84="CE"),IF(AND(M84=0,I84="CE"),IF(OR(H84="Perfectiva",H84="Eliminar",H84="Somente teste",H84="Teste + Plano",H84="Modificar"),F84,"-"),VLOOKUP(M84,{0,"Baixo","Baixo","Médio";2,"Baixo","Médio","Alto";4,"Médio","Alto","Alto"},MATCH(R84,{1,6,20})+1)),)))))))))</f>
        <v>-</v>
      </c>
      <c r="V84" s="14" t="str">
        <f>IF(OR(T84="-",U84="-",OR(AND(OR(I84="-",I84=""),OR(H84="Modificar",H84="Dados de Código")))),"-",IF(H84="Eliminar",G84*T84,IF(AND(OR(H84="Teste + Plano",H84="Somente teste"),F84&lt;&gt;"-"),(G84*0.5)*T84,T84*VLOOKUP(I84,{"ALI",7,10,15;"AIE",5,7,10;"EE",3,4,6;"SE",4,5,7;"CE",3,4,6},MATCH(U84,{"Baixo","Médio","Alto"},0)+1,FALSE))))</f>
        <v>-</v>
      </c>
      <c r="W84" s="15"/>
    </row>
    <row r="85" spans="1:31" ht="39.950000000000003" customHeight="1" x14ac:dyDescent="0.2">
      <c r="A85" s="78" t="s">
        <v>48</v>
      </c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7" t="s">
        <v>85</v>
      </c>
      <c r="N85" s="77"/>
      <c r="O85" s="77"/>
      <c r="P85" s="77"/>
      <c r="Q85" s="77"/>
      <c r="R85" s="51">
        <f>SUMIF(H5:H83,"Perfectiva",V5:V83)+SUMIF(H5:H83,"Somente teste",V5:V83)+SUMIF(H5:H83,"Teste + Plano",V5:V83)+SUMIF(H5:H83,"Dados de Código",V5:V83)</f>
        <v>0</v>
      </c>
      <c r="S85" s="74" t="s">
        <v>86</v>
      </c>
      <c r="T85" s="75"/>
      <c r="U85" s="75"/>
      <c r="V85" s="76"/>
      <c r="W85" s="51">
        <f>SUMIF(H5:H83,"Criar",V5:V83)+SUMIF(H5:H83,"Modificar",V5:V83)+SUMIF(H5:H83,"Eliminar",V5:V83)</f>
        <v>381.25</v>
      </c>
    </row>
    <row r="86" spans="1:31" x14ac:dyDescent="0.2">
      <c r="G86" s="41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42"/>
      <c r="U86" s="39"/>
      <c r="V86" s="42"/>
      <c r="W86" s="39"/>
    </row>
    <row r="87" spans="1:31" ht="15.75" x14ac:dyDescent="0.2">
      <c r="G87" s="41"/>
      <c r="H87" s="39"/>
      <c r="I87" s="39"/>
      <c r="J87" s="39"/>
      <c r="K87" s="39"/>
      <c r="L87" s="39"/>
      <c r="M87" s="39"/>
      <c r="N87" s="39"/>
      <c r="O87" s="39"/>
      <c r="P87" s="39"/>
      <c r="Q87" s="52"/>
      <c r="R87" s="39"/>
      <c r="S87" s="39"/>
      <c r="T87" s="42"/>
      <c r="U87" s="39"/>
      <c r="V87" s="42"/>
      <c r="W87" s="39"/>
    </row>
    <row r="88" spans="1:31" x14ac:dyDescent="0.2">
      <c r="G88" s="41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42"/>
      <c r="U88" s="39"/>
      <c r="V88" s="42"/>
      <c r="W88" s="39"/>
    </row>
    <row r="89" spans="1:31" x14ac:dyDescent="0.2">
      <c r="G89" s="41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42"/>
      <c r="U89" s="39"/>
      <c r="V89" s="42"/>
      <c r="W89" s="39"/>
    </row>
    <row r="90" spans="1:31" x14ac:dyDescent="0.2">
      <c r="G90" s="41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42"/>
      <c r="U90" s="39"/>
      <c r="V90" s="42"/>
      <c r="W90" s="39"/>
    </row>
    <row r="91" spans="1:31" x14ac:dyDescent="0.2">
      <c r="G91" s="41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42"/>
      <c r="U91" s="39"/>
      <c r="V91" s="42"/>
      <c r="W91" s="39"/>
    </row>
    <row r="92" spans="1:31" x14ac:dyDescent="0.2">
      <c r="G92" s="41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42"/>
      <c r="U92" s="39"/>
      <c r="V92" s="42"/>
      <c r="W92" s="39"/>
    </row>
    <row r="93" spans="1:31" x14ac:dyDescent="0.2">
      <c r="G93" s="41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42"/>
      <c r="U93" s="39"/>
      <c r="V93" s="42"/>
      <c r="W93" s="39"/>
    </row>
    <row r="94" spans="1:31" x14ac:dyDescent="0.2">
      <c r="G94" s="41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42"/>
      <c r="U94" s="39"/>
      <c r="V94" s="42"/>
      <c r="W94" s="39"/>
    </row>
    <row r="95" spans="1:31" x14ac:dyDescent="0.2">
      <c r="G95" s="41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42"/>
      <c r="U95" s="39"/>
      <c r="V95" s="42"/>
      <c r="W95" s="39"/>
    </row>
    <row r="96" spans="1:31" x14ac:dyDescent="0.2">
      <c r="G96" s="41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42"/>
      <c r="U96" s="39"/>
      <c r="V96" s="42"/>
      <c r="W96" s="39"/>
    </row>
    <row r="97" spans="7:23" x14ac:dyDescent="0.2">
      <c r="G97" s="41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42"/>
      <c r="U97" s="39"/>
      <c r="V97" s="42"/>
      <c r="W97" s="39"/>
    </row>
    <row r="98" spans="7:23" x14ac:dyDescent="0.2">
      <c r="G98" s="41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42"/>
      <c r="U98" s="39"/>
      <c r="V98" s="42"/>
      <c r="W98" s="39"/>
    </row>
    <row r="99" spans="7:23" x14ac:dyDescent="0.2">
      <c r="G99" s="41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42"/>
      <c r="U99" s="39"/>
      <c r="V99" s="42"/>
      <c r="W99" s="39"/>
    </row>
    <row r="100" spans="7:23" x14ac:dyDescent="0.2">
      <c r="G100" s="41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42"/>
      <c r="U100" s="39"/>
      <c r="V100" s="42"/>
      <c r="W100" s="39"/>
    </row>
    <row r="101" spans="7:23" x14ac:dyDescent="0.2">
      <c r="G101" s="41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42"/>
      <c r="U101" s="39"/>
      <c r="V101" s="42"/>
      <c r="W101" s="39"/>
    </row>
    <row r="102" spans="7:23" x14ac:dyDescent="0.2">
      <c r="G102" s="41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42"/>
      <c r="U102" s="39"/>
      <c r="V102" s="42"/>
      <c r="W102" s="39"/>
    </row>
    <row r="103" spans="7:23" x14ac:dyDescent="0.2">
      <c r="G103" s="41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42"/>
      <c r="U103" s="39"/>
      <c r="V103" s="42"/>
      <c r="W103" s="39"/>
    </row>
    <row r="104" spans="7:23" x14ac:dyDescent="0.2">
      <c r="G104" s="41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42"/>
      <c r="U104" s="39"/>
      <c r="V104" s="42"/>
      <c r="W104" s="39"/>
    </row>
    <row r="105" spans="7:23" x14ac:dyDescent="0.2">
      <c r="G105" s="41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42"/>
      <c r="U105" s="39"/>
      <c r="V105" s="42"/>
      <c r="W105" s="39"/>
    </row>
    <row r="106" spans="7:23" x14ac:dyDescent="0.2">
      <c r="G106" s="41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42"/>
      <c r="U106" s="39"/>
      <c r="V106" s="42"/>
      <c r="W106" s="39"/>
    </row>
    <row r="107" spans="7:23" x14ac:dyDescent="0.2">
      <c r="G107" s="41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42"/>
      <c r="U107" s="39"/>
      <c r="V107" s="42"/>
      <c r="W107" s="39"/>
    </row>
    <row r="108" spans="7:23" x14ac:dyDescent="0.2">
      <c r="G108" s="41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42"/>
      <c r="U108" s="39"/>
      <c r="V108" s="42"/>
      <c r="W108" s="39"/>
    </row>
    <row r="109" spans="7:23" x14ac:dyDescent="0.2">
      <c r="G109" s="41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42"/>
      <c r="U109" s="39"/>
      <c r="V109" s="42"/>
      <c r="W109" s="39"/>
    </row>
    <row r="110" spans="7:23" x14ac:dyDescent="0.2">
      <c r="G110" s="41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42"/>
      <c r="U110" s="39"/>
      <c r="V110" s="42"/>
      <c r="W110" s="39"/>
    </row>
    <row r="111" spans="7:23" x14ac:dyDescent="0.2">
      <c r="G111" s="41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42"/>
      <c r="U111" s="39"/>
      <c r="V111" s="42"/>
      <c r="W111" s="39"/>
    </row>
    <row r="112" spans="7:23" x14ac:dyDescent="0.2">
      <c r="G112" s="41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42"/>
      <c r="U112" s="39"/>
      <c r="V112" s="42"/>
      <c r="W112" s="39"/>
    </row>
    <row r="113" spans="7:23" x14ac:dyDescent="0.2">
      <c r="G113" s="41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42"/>
      <c r="U113" s="39"/>
      <c r="V113" s="42"/>
      <c r="W113" s="39"/>
    </row>
    <row r="114" spans="7:23" x14ac:dyDescent="0.2">
      <c r="G114" s="41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42"/>
      <c r="U114" s="39"/>
      <c r="V114" s="42"/>
      <c r="W114" s="39"/>
    </row>
    <row r="115" spans="7:23" x14ac:dyDescent="0.2">
      <c r="G115" s="41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42"/>
      <c r="U115" s="39"/>
      <c r="V115" s="42"/>
      <c r="W115" s="39"/>
    </row>
    <row r="116" spans="7:23" x14ac:dyDescent="0.2">
      <c r="G116" s="41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42"/>
      <c r="U116" s="39"/>
      <c r="V116" s="42"/>
      <c r="W116" s="39"/>
    </row>
    <row r="117" spans="7:23" x14ac:dyDescent="0.2">
      <c r="G117" s="41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42"/>
      <c r="U117" s="39"/>
      <c r="V117" s="42"/>
      <c r="W117" s="39"/>
    </row>
    <row r="118" spans="7:23" x14ac:dyDescent="0.2">
      <c r="G118" s="41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42"/>
      <c r="U118" s="39"/>
      <c r="V118" s="42"/>
      <c r="W118" s="39"/>
    </row>
    <row r="119" spans="7:23" x14ac:dyDescent="0.2">
      <c r="G119" s="41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42"/>
      <c r="U119" s="39"/>
      <c r="V119" s="42"/>
      <c r="W119" s="39"/>
    </row>
  </sheetData>
  <sheetProtection algorithmName="SHA-512" hashValue="arykI6YWs/11Jz1zjd/DY4UL5Fpx+cjRj4lO2vUKhZQPEJ6fb1/Bleq0k6BSQ127WbP28/JTvGSDu110xMgW1Q==" saltValue="Di4NwrSfu+SNAHwa4a8a8w==" spinCount="100000" sheet="1" objects="1" scenarios="1" formatCells="0" autoFilter="0"/>
  <dataConsolidate/>
  <mergeCells count="29">
    <mergeCell ref="S85:V85"/>
    <mergeCell ref="M85:Q85"/>
    <mergeCell ref="A85:L85"/>
    <mergeCell ref="B3:B5"/>
    <mergeCell ref="C3:G3"/>
    <mergeCell ref="A3:A5"/>
    <mergeCell ref="A83:W83"/>
    <mergeCell ref="H3:W3"/>
    <mergeCell ref="M2:N2"/>
    <mergeCell ref="O1:U1"/>
    <mergeCell ref="O2:U2"/>
    <mergeCell ref="K1:L1"/>
    <mergeCell ref="M1:N1"/>
    <mergeCell ref="C1:J2"/>
    <mergeCell ref="V4:V5"/>
    <mergeCell ref="I4:I5"/>
    <mergeCell ref="T4:T5"/>
    <mergeCell ref="O4:S4"/>
    <mergeCell ref="H4:H5"/>
    <mergeCell ref="V1:W1"/>
    <mergeCell ref="V2:W2"/>
    <mergeCell ref="F4:F5"/>
    <mergeCell ref="U4:U5"/>
    <mergeCell ref="J4:N4"/>
    <mergeCell ref="G4:G5"/>
    <mergeCell ref="W4:W5"/>
    <mergeCell ref="C4:C5"/>
    <mergeCell ref="D4:D5"/>
    <mergeCell ref="E4:E5"/>
  </mergeCells>
  <phoneticPr fontId="0" type="noConversion"/>
  <conditionalFormatting sqref="T83 T86:T20075">
    <cfRule type="expression" dxfId="737" priority="2826">
      <formula>ImpactoMaximo( INDIRECT( "T" &amp; ROW() ) )</formula>
    </cfRule>
  </conditionalFormatting>
  <conditionalFormatting sqref="A85:A1048576 A1:A5 A83">
    <cfRule type="duplicateValues" dxfId="736" priority="2825"/>
  </conditionalFormatting>
  <conditionalFormatting sqref="W83 W85:W20070">
    <cfRule type="expression" dxfId="735" priority="2824">
      <formula>ValidaTecnologia(INDIRECT("G"&amp;ROW()),INDIRECT("V"&amp;ROW()),INDIRECT("F"&amp;ROW()),INDIRECT("U"&amp;ROW()))</formula>
    </cfRule>
  </conditionalFormatting>
  <conditionalFormatting sqref="A84">
    <cfRule type="duplicateValues" dxfId="734" priority="2341"/>
  </conditionalFormatting>
  <conditionalFormatting sqref="W84">
    <cfRule type="expression" dxfId="733" priority="2340">
      <formula>ValidaTecnologia(INDIRECT("G"&amp;ROW()),INDIRECT("V"&amp;ROW()),INDIRECT("F"&amp;ROW()),INDIRECT("U"&amp;ROW()))</formula>
    </cfRule>
  </conditionalFormatting>
  <conditionalFormatting sqref="B3:B5">
    <cfRule type="duplicateValues" dxfId="732" priority="2841"/>
  </conditionalFormatting>
  <conditionalFormatting sqref="R85">
    <cfRule type="expression" dxfId="731" priority="2006">
      <formula>ValidaTecnologia(INDIRECT("G"&amp;ROW()),INDIRECT("V"&amp;ROW()),INDIRECT("F"&amp;ROW()),INDIRECT("U"&amp;ROW()))</formula>
    </cfRule>
  </conditionalFormatting>
  <conditionalFormatting sqref="I84">
    <cfRule type="expression" dxfId="730" priority="1965">
      <formula>ValidaTecnologia(INDIRECT("G"&amp;ROW()),INDIRECT("V"&amp;ROW()),INDIRECT("F"&amp;ROW()),INDIRECT("U"&amp;ROW()))</formula>
    </cfRule>
  </conditionalFormatting>
  <conditionalFormatting sqref="J84">
    <cfRule type="expression" dxfId="729" priority="1964">
      <formula>AND(OR($H84="Perfectiva",$H84="Somente teste",$H84="Teste + Plano",$H84="Eliminar"),J84&lt;&gt;"")</formula>
    </cfRule>
  </conditionalFormatting>
  <conditionalFormatting sqref="K84">
    <cfRule type="expression" dxfId="728" priority="1963">
      <formula>AND(OR($H84="Perfectiva",$H84="Somente teste",$H84="Teste + Plano",$H84="Eliminar"),K84&lt;&gt;"")</formula>
    </cfRule>
  </conditionalFormatting>
  <conditionalFormatting sqref="L84">
    <cfRule type="expression" dxfId="727" priority="1962">
      <formula>AND(OR($H84="Perfectiva",$H84="Somente teste",$H84="Teste + Plano",$H84="Eliminar"),L84&lt;&gt;"")</formula>
    </cfRule>
  </conditionalFormatting>
  <conditionalFormatting sqref="O84">
    <cfRule type="expression" dxfId="726" priority="1961">
      <formula>"E(OU($H7=""Perfectiva"";$H7=""Eliminar"";$H7=""Somente teste"";$H7=""Teste + Plano"");O7&lt;&gt;"""")"</formula>
    </cfRule>
  </conditionalFormatting>
  <conditionalFormatting sqref="P84">
    <cfRule type="expression" dxfId="725" priority="1960">
      <formula>"E(OU($H7=""Perfectiva"";$H7=""Eliminar"";$H7=""Somente teste"";$H7=""Teste + Plano"");P7&lt;&gt;"""")"</formula>
    </cfRule>
  </conditionalFormatting>
  <conditionalFormatting sqref="Q84">
    <cfRule type="expression" dxfId="724" priority="1959">
      <formula>"E(OU($H7=""Perfectiva"";$H7=""Eliminar"";$H7=""Somente teste"";$H7=""Teste + Plano"");Q7&lt;&gt;"""")"</formula>
    </cfRule>
  </conditionalFormatting>
  <conditionalFormatting sqref="T84">
    <cfRule type="expression" dxfId="723" priority="1708">
      <formula>ImpactoMaximo( INDIRECT( "T" &amp; ROW() ) )</formula>
    </cfRule>
  </conditionalFormatting>
  <conditionalFormatting sqref="J22">
    <cfRule type="expression" dxfId="722" priority="1025">
      <formula>AND(OR($H22="Perfectiva",$H22="Somente teste",$H22="Teste + Plano",$H22="Eliminar"),J22&lt;&gt;"")</formula>
    </cfRule>
  </conditionalFormatting>
  <conditionalFormatting sqref="K22">
    <cfRule type="expression" dxfId="721" priority="1024">
      <formula>AND(OR($H22="Perfectiva",$H22="Somente teste",$H22="Teste + Plano",$H22="Eliminar"),K22&lt;&gt;"")</formula>
    </cfRule>
  </conditionalFormatting>
  <conditionalFormatting sqref="L22">
    <cfRule type="expression" dxfId="720" priority="1023">
      <formula>AND(OR($H22="Perfectiva",$H22="Somente teste",$H22="Teste + Plano",$H22="Eliminar"),L22&lt;&gt;"")</formula>
    </cfRule>
  </conditionalFormatting>
  <conditionalFormatting sqref="O22">
    <cfRule type="expression" dxfId="719" priority="1022">
      <formula>"E(OU($H7=""Perfectiva"";$H7=""Eliminar"";$H7=""Somente teste"";$H7=""Teste + Plano"");O7&lt;&gt;"""")"</formula>
    </cfRule>
  </conditionalFormatting>
  <conditionalFormatting sqref="P22">
    <cfRule type="expression" dxfId="718" priority="1021">
      <formula>"E(OU($H7=""Perfectiva"";$H7=""Eliminar"";$H7=""Somente teste"";$H7=""Teste + Plano"");P7&lt;&gt;"""")"</formula>
    </cfRule>
  </conditionalFormatting>
  <conditionalFormatting sqref="Q22">
    <cfRule type="expression" dxfId="717" priority="1020">
      <formula>"E(OU($H7=""Perfectiva"";$H7=""Eliminar"";$H7=""Somente teste"";$H7=""Teste + Plano"");Q7&lt;&gt;"""")"</formula>
    </cfRule>
  </conditionalFormatting>
  <conditionalFormatting sqref="T22">
    <cfRule type="expression" dxfId="716" priority="1019">
      <formula>ImpactoMaximo( INDIRECT( "T" &amp; ROW() ) )</formula>
    </cfRule>
  </conditionalFormatting>
  <conditionalFormatting sqref="J21">
    <cfRule type="expression" dxfId="715" priority="1015">
      <formula>AND(OR($H21="Perfectiva",$H21="Somente teste",$H21="Teste + Plano",$H21="Eliminar"),J21&lt;&gt;"")</formula>
    </cfRule>
  </conditionalFormatting>
  <conditionalFormatting sqref="K21">
    <cfRule type="expression" dxfId="714" priority="1014">
      <formula>AND(OR($H21="Perfectiva",$H21="Somente teste",$H21="Teste + Plano",$H21="Eliminar"),K21&lt;&gt;"")</formula>
    </cfRule>
  </conditionalFormatting>
  <conditionalFormatting sqref="L21">
    <cfRule type="expression" dxfId="713" priority="1013">
      <formula>AND(OR($H21="Perfectiva",$H21="Somente teste",$H21="Teste + Plano",$H21="Eliminar"),L21&lt;&gt;"")</formula>
    </cfRule>
  </conditionalFormatting>
  <conditionalFormatting sqref="O21">
    <cfRule type="expression" dxfId="712" priority="1012">
      <formula>"E(OU($H7=""Perfectiva"";$H7=""Eliminar"";$H7=""Somente teste"";$H7=""Teste + Plano"");O7&lt;&gt;"""")"</formula>
    </cfRule>
  </conditionalFormatting>
  <conditionalFormatting sqref="P21">
    <cfRule type="expression" dxfId="711" priority="1011">
      <formula>"E(OU($H7=""Perfectiva"";$H7=""Eliminar"";$H7=""Somente teste"";$H7=""Teste + Plano"");P7&lt;&gt;"""")"</formula>
    </cfRule>
  </conditionalFormatting>
  <conditionalFormatting sqref="Q21">
    <cfRule type="expression" dxfId="710" priority="1010">
      <formula>"E(OU($H7=""Perfectiva"";$H7=""Eliminar"";$H7=""Somente teste"";$H7=""Teste + Plano"");Q7&lt;&gt;"""")"</formula>
    </cfRule>
  </conditionalFormatting>
  <conditionalFormatting sqref="T21">
    <cfRule type="expression" dxfId="709" priority="1009">
      <formula>ImpactoMaximo( INDIRECT( "T" &amp; ROW() ) )</formula>
    </cfRule>
  </conditionalFormatting>
  <conditionalFormatting sqref="J20">
    <cfRule type="expression" dxfId="708" priority="1005">
      <formula>AND(OR($H20="Perfectiva",$H20="Somente teste",$H20="Teste + Plano",$H20="Eliminar"),J20&lt;&gt;"")</formula>
    </cfRule>
  </conditionalFormatting>
  <conditionalFormatting sqref="K20">
    <cfRule type="expression" dxfId="707" priority="1004">
      <formula>AND(OR($H20="Perfectiva",$H20="Somente teste",$H20="Teste + Plano",$H20="Eliminar"),K20&lt;&gt;"")</formula>
    </cfRule>
  </conditionalFormatting>
  <conditionalFormatting sqref="L20">
    <cfRule type="expression" dxfId="706" priority="1003">
      <formula>AND(OR($H20="Perfectiva",$H20="Somente teste",$H20="Teste + Plano",$H20="Eliminar"),L20&lt;&gt;"")</formula>
    </cfRule>
  </conditionalFormatting>
  <conditionalFormatting sqref="O20">
    <cfRule type="expression" dxfId="705" priority="1002">
      <formula>"E(OU($H7=""Perfectiva"";$H7=""Eliminar"";$H7=""Somente teste"";$H7=""Teste + Plano"");O7&lt;&gt;"""")"</formula>
    </cfRule>
  </conditionalFormatting>
  <conditionalFormatting sqref="P20">
    <cfRule type="expression" dxfId="704" priority="1001">
      <formula>"E(OU($H7=""Perfectiva"";$H7=""Eliminar"";$H7=""Somente teste"";$H7=""Teste + Plano"");P7&lt;&gt;"""")"</formula>
    </cfRule>
  </conditionalFormatting>
  <conditionalFormatting sqref="Q20">
    <cfRule type="expression" dxfId="703" priority="1000">
      <formula>"E(OU($H7=""Perfectiva"";$H7=""Eliminar"";$H7=""Somente teste"";$H7=""Teste + Plano"");Q7&lt;&gt;"""")"</formula>
    </cfRule>
  </conditionalFormatting>
  <conditionalFormatting sqref="T20">
    <cfRule type="expression" dxfId="702" priority="999">
      <formula>ImpactoMaximo( INDIRECT( "T" &amp; ROW() ) )</formula>
    </cfRule>
  </conditionalFormatting>
  <conditionalFormatting sqref="J19">
    <cfRule type="expression" dxfId="701" priority="995">
      <formula>AND(OR($H19="Perfectiva",$H19="Somente teste",$H19="Teste + Plano",$H19="Eliminar"),J19&lt;&gt;"")</formula>
    </cfRule>
  </conditionalFormatting>
  <conditionalFormatting sqref="K19">
    <cfRule type="expression" dxfId="700" priority="994">
      <formula>AND(OR($H19="Perfectiva",$H19="Somente teste",$H19="Teste + Plano",$H19="Eliminar"),K19&lt;&gt;"")</formula>
    </cfRule>
  </conditionalFormatting>
  <conditionalFormatting sqref="L19">
    <cfRule type="expression" dxfId="699" priority="993">
      <formula>AND(OR($H19="Perfectiva",$H19="Somente teste",$H19="Teste + Plano",$H19="Eliminar"),L19&lt;&gt;"")</formula>
    </cfRule>
  </conditionalFormatting>
  <conditionalFormatting sqref="O19">
    <cfRule type="expression" dxfId="698" priority="992">
      <formula>"E(OU($H7=""Perfectiva"";$H7=""Eliminar"";$H7=""Somente teste"";$H7=""Teste + Plano"");O7&lt;&gt;"""")"</formula>
    </cfRule>
  </conditionalFormatting>
  <conditionalFormatting sqref="P19">
    <cfRule type="expression" dxfId="697" priority="991">
      <formula>"E(OU($H7=""Perfectiva"";$H7=""Eliminar"";$H7=""Somente teste"";$H7=""Teste + Plano"");P7&lt;&gt;"""")"</formula>
    </cfRule>
  </conditionalFormatting>
  <conditionalFormatting sqref="Q19">
    <cfRule type="expression" dxfId="696" priority="990">
      <formula>"E(OU($H7=""Perfectiva"";$H7=""Eliminar"";$H7=""Somente teste"";$H7=""Teste + Plano"");Q7&lt;&gt;"""")"</formula>
    </cfRule>
  </conditionalFormatting>
  <conditionalFormatting sqref="T19">
    <cfRule type="expression" dxfId="695" priority="989">
      <formula>ImpactoMaximo( INDIRECT( "T" &amp; ROW() ) )</formula>
    </cfRule>
  </conditionalFormatting>
  <conditionalFormatting sqref="J18">
    <cfRule type="expression" dxfId="694" priority="985">
      <formula>AND(OR($H18="Perfectiva",$H18="Somente teste",$H18="Teste + Plano",$H18="Eliminar"),J18&lt;&gt;"")</formula>
    </cfRule>
  </conditionalFormatting>
  <conditionalFormatting sqref="K18">
    <cfRule type="expression" dxfId="693" priority="984">
      <formula>AND(OR($H18="Perfectiva",$H18="Somente teste",$H18="Teste + Plano",$H18="Eliminar"),K18&lt;&gt;"")</formula>
    </cfRule>
  </conditionalFormatting>
  <conditionalFormatting sqref="L18">
    <cfRule type="expression" dxfId="692" priority="983">
      <formula>AND(OR($H18="Perfectiva",$H18="Somente teste",$H18="Teste + Plano",$H18="Eliminar"),L18&lt;&gt;"")</formula>
    </cfRule>
  </conditionalFormatting>
  <conditionalFormatting sqref="O18">
    <cfRule type="expression" dxfId="691" priority="982">
      <formula>"E(OU($H7=""Perfectiva"";$H7=""Eliminar"";$H7=""Somente teste"";$H7=""Teste + Plano"");O7&lt;&gt;"""")"</formula>
    </cfRule>
  </conditionalFormatting>
  <conditionalFormatting sqref="P18">
    <cfRule type="expression" dxfId="690" priority="981">
      <formula>"E(OU($H7=""Perfectiva"";$H7=""Eliminar"";$H7=""Somente teste"";$H7=""Teste + Plano"");P7&lt;&gt;"""")"</formula>
    </cfRule>
  </conditionalFormatting>
  <conditionalFormatting sqref="Q18">
    <cfRule type="expression" dxfId="689" priority="980">
      <formula>"E(OU($H7=""Perfectiva"";$H7=""Eliminar"";$H7=""Somente teste"";$H7=""Teste + Plano"");Q7&lt;&gt;"""")"</formula>
    </cfRule>
  </conditionalFormatting>
  <conditionalFormatting sqref="T18">
    <cfRule type="expression" dxfId="688" priority="979">
      <formula>ImpactoMaximo( INDIRECT( "T" &amp; ROW() ) )</formula>
    </cfRule>
  </conditionalFormatting>
  <conditionalFormatting sqref="J17">
    <cfRule type="expression" dxfId="687" priority="975">
      <formula>AND(OR($H17="Perfectiva",$H17="Somente teste",$H17="Teste + Plano",$H17="Eliminar"),J17&lt;&gt;"")</formula>
    </cfRule>
  </conditionalFormatting>
  <conditionalFormatting sqref="K17">
    <cfRule type="expression" dxfId="686" priority="974">
      <formula>AND(OR($H17="Perfectiva",$H17="Somente teste",$H17="Teste + Plano",$H17="Eliminar"),K17&lt;&gt;"")</formula>
    </cfRule>
  </conditionalFormatting>
  <conditionalFormatting sqref="L17">
    <cfRule type="expression" dxfId="685" priority="973">
      <formula>AND(OR($H17="Perfectiva",$H17="Somente teste",$H17="Teste + Plano",$H17="Eliminar"),L17&lt;&gt;"")</formula>
    </cfRule>
  </conditionalFormatting>
  <conditionalFormatting sqref="O17">
    <cfRule type="expression" dxfId="684" priority="972">
      <formula>"E(OU($H7=""Perfectiva"";$H7=""Eliminar"";$H7=""Somente teste"";$H7=""Teste + Plano"");O7&lt;&gt;"""")"</formula>
    </cfRule>
  </conditionalFormatting>
  <conditionalFormatting sqref="P17">
    <cfRule type="expression" dxfId="683" priority="971">
      <formula>"E(OU($H7=""Perfectiva"";$H7=""Eliminar"";$H7=""Somente teste"";$H7=""Teste + Plano"");P7&lt;&gt;"""")"</formula>
    </cfRule>
  </conditionalFormatting>
  <conditionalFormatting sqref="Q17">
    <cfRule type="expression" dxfId="682" priority="970">
      <formula>"E(OU($H7=""Perfectiva"";$H7=""Eliminar"";$H7=""Somente teste"";$H7=""Teste + Plano"");Q7&lt;&gt;"""")"</formula>
    </cfRule>
  </conditionalFormatting>
  <conditionalFormatting sqref="T17">
    <cfRule type="expression" dxfId="681" priority="969">
      <formula>ImpactoMaximo( INDIRECT( "T" &amp; ROW() ) )</formula>
    </cfRule>
  </conditionalFormatting>
  <conditionalFormatting sqref="J16">
    <cfRule type="expression" dxfId="680" priority="965">
      <formula>AND(OR($H16="Perfectiva",$H16="Somente teste",$H16="Teste + Plano",$H16="Eliminar"),J16&lt;&gt;"")</formula>
    </cfRule>
  </conditionalFormatting>
  <conditionalFormatting sqref="K16">
    <cfRule type="expression" dxfId="679" priority="964">
      <formula>AND(OR($H16="Perfectiva",$H16="Somente teste",$H16="Teste + Plano",$H16="Eliminar"),K16&lt;&gt;"")</formula>
    </cfRule>
  </conditionalFormatting>
  <conditionalFormatting sqref="L16">
    <cfRule type="expression" dxfId="678" priority="963">
      <formula>AND(OR($H16="Perfectiva",$H16="Somente teste",$H16="Teste + Plano",$H16="Eliminar"),L16&lt;&gt;"")</formula>
    </cfRule>
  </conditionalFormatting>
  <conditionalFormatting sqref="O16">
    <cfRule type="expression" dxfId="677" priority="962">
      <formula>"E(OU($H7=""Perfectiva"";$H7=""Eliminar"";$H7=""Somente teste"";$H7=""Teste + Plano"");O7&lt;&gt;"""")"</formula>
    </cfRule>
  </conditionalFormatting>
  <conditionalFormatting sqref="P16">
    <cfRule type="expression" dxfId="676" priority="961">
      <formula>"E(OU($H7=""Perfectiva"";$H7=""Eliminar"";$H7=""Somente teste"";$H7=""Teste + Plano"");P7&lt;&gt;"""")"</formula>
    </cfRule>
  </conditionalFormatting>
  <conditionalFormatting sqref="Q16">
    <cfRule type="expression" dxfId="675" priority="960">
      <formula>"E(OU($H7=""Perfectiva"";$H7=""Eliminar"";$H7=""Somente teste"";$H7=""Teste + Plano"");Q7&lt;&gt;"""")"</formula>
    </cfRule>
  </conditionalFormatting>
  <conditionalFormatting sqref="T16">
    <cfRule type="expression" dxfId="674" priority="959">
      <formula>ImpactoMaximo( INDIRECT( "T" &amp; ROW() ) )</formula>
    </cfRule>
  </conditionalFormatting>
  <conditionalFormatting sqref="J15">
    <cfRule type="expression" dxfId="673" priority="955">
      <formula>AND(OR($H15="Perfectiva",$H15="Somente teste",$H15="Teste + Plano",$H15="Eliminar"),J15&lt;&gt;"")</formula>
    </cfRule>
  </conditionalFormatting>
  <conditionalFormatting sqref="K15">
    <cfRule type="expression" dxfId="672" priority="954">
      <formula>AND(OR($H15="Perfectiva",$H15="Somente teste",$H15="Teste + Plano",$H15="Eliminar"),K15&lt;&gt;"")</formula>
    </cfRule>
  </conditionalFormatting>
  <conditionalFormatting sqref="L15">
    <cfRule type="expression" dxfId="671" priority="953">
      <formula>AND(OR($H15="Perfectiva",$H15="Somente teste",$H15="Teste + Plano",$H15="Eliminar"),L15&lt;&gt;"")</formula>
    </cfRule>
  </conditionalFormatting>
  <conditionalFormatting sqref="O15">
    <cfRule type="expression" dxfId="670" priority="952">
      <formula>"E(OU($H7=""Perfectiva"";$H7=""Eliminar"";$H7=""Somente teste"";$H7=""Teste + Plano"");O7&lt;&gt;"""")"</formula>
    </cfRule>
  </conditionalFormatting>
  <conditionalFormatting sqref="P15">
    <cfRule type="expression" dxfId="669" priority="951">
      <formula>"E(OU($H7=""Perfectiva"";$H7=""Eliminar"";$H7=""Somente teste"";$H7=""Teste + Plano"");P7&lt;&gt;"""")"</formula>
    </cfRule>
  </conditionalFormatting>
  <conditionalFormatting sqref="Q15">
    <cfRule type="expression" dxfId="668" priority="950">
      <formula>"E(OU($H7=""Perfectiva"";$H7=""Eliminar"";$H7=""Somente teste"";$H7=""Teste + Plano"");Q7&lt;&gt;"""")"</formula>
    </cfRule>
  </conditionalFormatting>
  <conditionalFormatting sqref="T15">
    <cfRule type="expression" dxfId="667" priority="949">
      <formula>ImpactoMaximo( INDIRECT( "T" &amp; ROW() ) )</formula>
    </cfRule>
  </conditionalFormatting>
  <conditionalFormatting sqref="J14">
    <cfRule type="expression" dxfId="666" priority="945">
      <formula>AND(OR($H14="Perfectiva",$H14="Somente teste",$H14="Teste + Plano",$H14="Eliminar"),J14&lt;&gt;"")</formula>
    </cfRule>
  </conditionalFormatting>
  <conditionalFormatting sqref="K14">
    <cfRule type="expression" dxfId="665" priority="944">
      <formula>AND(OR($H14="Perfectiva",$H14="Somente teste",$H14="Teste + Plano",$H14="Eliminar"),K14&lt;&gt;"")</formula>
    </cfRule>
  </conditionalFormatting>
  <conditionalFormatting sqref="L14">
    <cfRule type="expression" dxfId="664" priority="943">
      <formula>AND(OR($H14="Perfectiva",$H14="Somente teste",$H14="Teste + Plano",$H14="Eliminar"),L14&lt;&gt;"")</formula>
    </cfRule>
  </conditionalFormatting>
  <conditionalFormatting sqref="O14">
    <cfRule type="expression" dxfId="663" priority="942">
      <formula>"E(OU($H7=""Perfectiva"";$H7=""Eliminar"";$H7=""Somente teste"";$H7=""Teste + Plano"");O7&lt;&gt;"""")"</formula>
    </cfRule>
  </conditionalFormatting>
  <conditionalFormatting sqref="P14">
    <cfRule type="expression" dxfId="662" priority="941">
      <formula>"E(OU($H7=""Perfectiva"";$H7=""Eliminar"";$H7=""Somente teste"";$H7=""Teste + Plano"");P7&lt;&gt;"""")"</formula>
    </cfRule>
  </conditionalFormatting>
  <conditionalFormatting sqref="Q14">
    <cfRule type="expression" dxfId="661" priority="940">
      <formula>"E(OU($H7=""Perfectiva"";$H7=""Eliminar"";$H7=""Somente teste"";$H7=""Teste + Plano"");Q7&lt;&gt;"""")"</formula>
    </cfRule>
  </conditionalFormatting>
  <conditionalFormatting sqref="T14">
    <cfRule type="expression" dxfId="660" priority="939">
      <formula>ImpactoMaximo( INDIRECT( "T" &amp; ROW() ) )</formula>
    </cfRule>
  </conditionalFormatting>
  <conditionalFormatting sqref="J13">
    <cfRule type="expression" dxfId="659" priority="935">
      <formula>AND(OR($H13="Perfectiva",$H13="Somente teste",$H13="Teste + Plano",$H13="Eliminar"),J13&lt;&gt;"")</formula>
    </cfRule>
  </conditionalFormatting>
  <conditionalFormatting sqref="K13">
    <cfRule type="expression" dxfId="658" priority="934">
      <formula>AND(OR($H13="Perfectiva",$H13="Somente teste",$H13="Teste + Plano",$H13="Eliminar"),K13&lt;&gt;"")</formula>
    </cfRule>
  </conditionalFormatting>
  <conditionalFormatting sqref="L13">
    <cfRule type="expression" dxfId="657" priority="933">
      <formula>AND(OR($H13="Perfectiva",$H13="Somente teste",$H13="Teste + Plano",$H13="Eliminar"),L13&lt;&gt;"")</formula>
    </cfRule>
  </conditionalFormatting>
  <conditionalFormatting sqref="O13">
    <cfRule type="expression" dxfId="656" priority="932">
      <formula>"E(OU($H7=""Perfectiva"";$H7=""Eliminar"";$H7=""Somente teste"";$H7=""Teste + Plano"");O7&lt;&gt;"""")"</formula>
    </cfRule>
  </conditionalFormatting>
  <conditionalFormatting sqref="P13">
    <cfRule type="expression" dxfId="655" priority="931">
      <formula>"E(OU($H7=""Perfectiva"";$H7=""Eliminar"";$H7=""Somente teste"";$H7=""Teste + Plano"");P7&lt;&gt;"""")"</formula>
    </cfRule>
  </conditionalFormatting>
  <conditionalFormatting sqref="Q13">
    <cfRule type="expression" dxfId="654" priority="930">
      <formula>"E(OU($H7=""Perfectiva"";$H7=""Eliminar"";$H7=""Somente teste"";$H7=""Teste + Plano"");Q7&lt;&gt;"""")"</formula>
    </cfRule>
  </conditionalFormatting>
  <conditionalFormatting sqref="T13">
    <cfRule type="expression" dxfId="653" priority="929">
      <formula>ImpactoMaximo( INDIRECT( "T" &amp; ROW() ) )</formula>
    </cfRule>
  </conditionalFormatting>
  <conditionalFormatting sqref="J12">
    <cfRule type="expression" dxfId="652" priority="925">
      <formula>AND(OR($H12="Perfectiva",$H12="Somente teste",$H12="Teste + Plano",$H12="Eliminar"),J12&lt;&gt;"")</formula>
    </cfRule>
  </conditionalFormatting>
  <conditionalFormatting sqref="K12">
    <cfRule type="expression" dxfId="651" priority="924">
      <formula>AND(OR($H12="Perfectiva",$H12="Somente teste",$H12="Teste + Plano",$H12="Eliminar"),K12&lt;&gt;"")</formula>
    </cfRule>
  </conditionalFormatting>
  <conditionalFormatting sqref="L12">
    <cfRule type="expression" dxfId="650" priority="923">
      <formula>AND(OR($H12="Perfectiva",$H12="Somente teste",$H12="Teste + Plano",$H12="Eliminar"),L12&lt;&gt;"")</formula>
    </cfRule>
  </conditionalFormatting>
  <conditionalFormatting sqref="O12">
    <cfRule type="expression" dxfId="649" priority="922">
      <formula>"E(OU($H7=""Perfectiva"";$H7=""Eliminar"";$H7=""Somente teste"";$H7=""Teste + Plano"");O7&lt;&gt;"""")"</formula>
    </cfRule>
  </conditionalFormatting>
  <conditionalFormatting sqref="P12">
    <cfRule type="expression" dxfId="648" priority="921">
      <formula>"E(OU($H7=""Perfectiva"";$H7=""Eliminar"";$H7=""Somente teste"";$H7=""Teste + Plano"");P7&lt;&gt;"""")"</formula>
    </cfRule>
  </conditionalFormatting>
  <conditionalFormatting sqref="Q12">
    <cfRule type="expression" dxfId="647" priority="920">
      <formula>"E(OU($H7=""Perfectiva"";$H7=""Eliminar"";$H7=""Somente teste"";$H7=""Teste + Plano"");Q7&lt;&gt;"""")"</formula>
    </cfRule>
  </conditionalFormatting>
  <conditionalFormatting sqref="T12">
    <cfRule type="expression" dxfId="646" priority="919">
      <formula>ImpactoMaximo( INDIRECT( "T" &amp; ROW() ) )</formula>
    </cfRule>
  </conditionalFormatting>
  <conditionalFormatting sqref="I11">
    <cfRule type="expression" dxfId="645" priority="916">
      <formula>ValidaTecnologia(INDIRECT("G"&amp;ROW()),INDIRECT("V"&amp;ROW()),INDIRECT("F"&amp;ROW()),INDIRECT("U"&amp;ROW()))</formula>
    </cfRule>
  </conditionalFormatting>
  <conditionalFormatting sqref="J11">
    <cfRule type="expression" dxfId="644" priority="915">
      <formula>AND(OR($H11="Perfectiva",$H11="Somente teste",$H11="Teste + Plano",$H11="Eliminar"),J11&lt;&gt;"")</formula>
    </cfRule>
  </conditionalFormatting>
  <conditionalFormatting sqref="K11">
    <cfRule type="expression" dxfId="643" priority="914">
      <formula>AND(OR($H11="Perfectiva",$H11="Somente teste",$H11="Teste + Plano",$H11="Eliminar"),K11&lt;&gt;"")</formula>
    </cfRule>
  </conditionalFormatting>
  <conditionalFormatting sqref="L11">
    <cfRule type="expression" dxfId="642" priority="913">
      <formula>AND(OR($H11="Perfectiva",$H11="Somente teste",$H11="Teste + Plano",$H11="Eliminar"),L11&lt;&gt;"")</formula>
    </cfRule>
  </conditionalFormatting>
  <conditionalFormatting sqref="O11">
    <cfRule type="expression" dxfId="641" priority="912">
      <formula>"E(OU($H7=""Perfectiva"";$H7=""Eliminar"";$H7=""Somente teste"";$H7=""Teste + Plano"");O7&lt;&gt;"""")"</formula>
    </cfRule>
  </conditionalFormatting>
  <conditionalFormatting sqref="P11">
    <cfRule type="expression" dxfId="640" priority="911">
      <formula>"E(OU($H7=""Perfectiva"";$H7=""Eliminar"";$H7=""Somente teste"";$H7=""Teste + Plano"");P7&lt;&gt;"""")"</formula>
    </cfRule>
  </conditionalFormatting>
  <conditionalFormatting sqref="Q11">
    <cfRule type="expression" dxfId="639" priority="910">
      <formula>"E(OU($H7=""Perfectiva"";$H7=""Eliminar"";$H7=""Somente teste"";$H7=""Teste + Plano"");Q7&lt;&gt;"""")"</formula>
    </cfRule>
  </conditionalFormatting>
  <conditionalFormatting sqref="T11">
    <cfRule type="expression" dxfId="638" priority="909">
      <formula>ImpactoMaximo( INDIRECT( "T" &amp; ROW() ) )</formula>
    </cfRule>
  </conditionalFormatting>
  <conditionalFormatting sqref="I7">
    <cfRule type="expression" dxfId="637" priority="906">
      <formula>ValidaTecnologia(INDIRECT("G"&amp;ROW()),INDIRECT("V"&amp;ROW()),INDIRECT("F"&amp;ROW()),INDIRECT("U"&amp;ROW()))</formula>
    </cfRule>
  </conditionalFormatting>
  <conditionalFormatting sqref="J7">
    <cfRule type="expression" dxfId="636" priority="905">
      <formula>AND(OR($H7="Perfectiva",$H7="Somente teste",$H7="Teste + Plano",$H7="Eliminar"),J7&lt;&gt;"")</formula>
    </cfRule>
  </conditionalFormatting>
  <conditionalFormatting sqref="K7">
    <cfRule type="expression" dxfId="635" priority="904">
      <formula>AND(OR($H7="Perfectiva",$H7="Somente teste",$H7="Teste + Plano",$H7="Eliminar"),K7&lt;&gt;"")</formula>
    </cfRule>
  </conditionalFormatting>
  <conditionalFormatting sqref="L7">
    <cfRule type="expression" dxfId="634" priority="903">
      <formula>AND(OR($H7="Perfectiva",$H7="Somente teste",$H7="Teste + Plano",$H7="Eliminar"),L7&lt;&gt;"")</formula>
    </cfRule>
  </conditionalFormatting>
  <conditionalFormatting sqref="O7">
    <cfRule type="expression" dxfId="633" priority="902">
      <formula>"E(OU($H7=""Perfectiva"";$H7=""Eliminar"";$H7=""Somente teste"";$H7=""Teste + Plano"");O7&lt;&gt;"""")"</formula>
    </cfRule>
  </conditionalFormatting>
  <conditionalFormatting sqref="P7">
    <cfRule type="expression" dxfId="632" priority="901">
      <formula>"E(OU($H7=""Perfectiva"";$H7=""Eliminar"";$H7=""Somente teste"";$H7=""Teste + Plano"");P7&lt;&gt;"""")"</formula>
    </cfRule>
  </conditionalFormatting>
  <conditionalFormatting sqref="Q7">
    <cfRule type="expression" dxfId="631" priority="900">
      <formula>"E(OU($H7=""Perfectiva"";$H7=""Eliminar"";$H7=""Somente teste"";$H7=""Teste + Plano"");Q7&lt;&gt;"""")"</formula>
    </cfRule>
  </conditionalFormatting>
  <conditionalFormatting sqref="T7">
    <cfRule type="expression" dxfId="630" priority="899">
      <formula>ImpactoMaximo( INDIRECT( "T" &amp; ROW() ) )</formula>
    </cfRule>
  </conditionalFormatting>
  <conditionalFormatting sqref="I6">
    <cfRule type="expression" dxfId="629" priority="896">
      <formula>ValidaTecnologia(INDIRECT("G"&amp;ROW()),INDIRECT("V"&amp;ROW()),INDIRECT("F"&amp;ROW()),INDIRECT("U"&amp;ROW()))</formula>
    </cfRule>
  </conditionalFormatting>
  <conditionalFormatting sqref="J6">
    <cfRule type="expression" dxfId="628" priority="895">
      <formula>AND(OR($H6="Perfectiva",$H6="Somente teste",$H6="Teste + Plano",$H6="Eliminar"),J6&lt;&gt;"")</formula>
    </cfRule>
  </conditionalFormatting>
  <conditionalFormatting sqref="K6">
    <cfRule type="expression" dxfId="627" priority="894">
      <formula>AND(OR($H6="Perfectiva",$H6="Somente teste",$H6="Teste + Plano",$H6="Eliminar"),K6&lt;&gt;"")</formula>
    </cfRule>
  </conditionalFormatting>
  <conditionalFormatting sqref="L6">
    <cfRule type="expression" dxfId="626" priority="893">
      <formula>AND(OR($H6="Perfectiva",$H6="Somente teste",$H6="Teste + Plano",$H6="Eliminar"),L6&lt;&gt;"")</formula>
    </cfRule>
  </conditionalFormatting>
  <conditionalFormatting sqref="O6">
    <cfRule type="expression" dxfId="625" priority="892">
      <formula>"E(OU($H7=""Perfectiva"";$H7=""Eliminar"";$H7=""Somente teste"";$H7=""Teste + Plano"");O7&lt;&gt;"""")"</formula>
    </cfRule>
  </conditionalFormatting>
  <conditionalFormatting sqref="P6">
    <cfRule type="expression" dxfId="624" priority="891">
      <formula>"E(OU($H7=""Perfectiva"";$H7=""Eliminar"";$H7=""Somente teste"";$H7=""Teste + Plano"");P7&lt;&gt;"""")"</formula>
    </cfRule>
  </conditionalFormatting>
  <conditionalFormatting sqref="Q6">
    <cfRule type="expression" dxfId="623" priority="890">
      <formula>"E(OU($H7=""Perfectiva"";$H7=""Eliminar"";$H7=""Somente teste"";$H7=""Teste + Plano"");Q7&lt;&gt;"""")"</formula>
    </cfRule>
  </conditionalFormatting>
  <conditionalFormatting sqref="T6">
    <cfRule type="expression" dxfId="622" priority="889">
      <formula>ImpactoMaximo( INDIRECT( "T" &amp; ROW() ) )</formula>
    </cfRule>
  </conditionalFormatting>
  <conditionalFormatting sqref="J23">
    <cfRule type="expression" dxfId="621" priority="855">
      <formula>AND(OR($H23="Perfectiva",$H23="Somente teste",$H23="Teste + Plano",$H23="Eliminar"),J23&lt;&gt;"")</formula>
    </cfRule>
  </conditionalFormatting>
  <conditionalFormatting sqref="K23">
    <cfRule type="expression" dxfId="620" priority="854">
      <formula>AND(OR($H23="Perfectiva",$H23="Somente teste",$H23="Teste + Plano",$H23="Eliminar"),K23&lt;&gt;"")</formula>
    </cfRule>
  </conditionalFormatting>
  <conditionalFormatting sqref="L23">
    <cfRule type="expression" dxfId="619" priority="853">
      <formula>AND(OR($H23="Perfectiva",$H23="Somente teste",$H23="Teste + Plano",$H23="Eliminar"),L23&lt;&gt;"")</formula>
    </cfRule>
  </conditionalFormatting>
  <conditionalFormatting sqref="O23">
    <cfRule type="expression" dxfId="618" priority="852">
      <formula>"E(OU($H7=""Perfectiva"";$H7=""Eliminar"";$H7=""Somente teste"";$H7=""Teste + Plano"");O7&lt;&gt;"""")"</formula>
    </cfRule>
  </conditionalFormatting>
  <conditionalFormatting sqref="P23">
    <cfRule type="expression" dxfId="617" priority="851">
      <formula>"E(OU($H7=""Perfectiva"";$H7=""Eliminar"";$H7=""Somente teste"";$H7=""Teste + Plano"");P7&lt;&gt;"""")"</formula>
    </cfRule>
  </conditionalFormatting>
  <conditionalFormatting sqref="Q23">
    <cfRule type="expression" dxfId="616" priority="850">
      <formula>"E(OU($H7=""Perfectiva"";$H7=""Eliminar"";$H7=""Somente teste"";$H7=""Teste + Plano"");Q7&lt;&gt;"""")"</formula>
    </cfRule>
  </conditionalFormatting>
  <conditionalFormatting sqref="T23">
    <cfRule type="expression" dxfId="615" priority="849">
      <formula>ImpactoMaximo( INDIRECT( "T" &amp; ROW() ) )</formula>
    </cfRule>
  </conditionalFormatting>
  <conditionalFormatting sqref="A11">
    <cfRule type="duplicateValues" dxfId="614" priority="846"/>
  </conditionalFormatting>
  <conditionalFormatting sqref="A12">
    <cfRule type="duplicateValues" dxfId="613" priority="845"/>
  </conditionalFormatting>
  <conditionalFormatting sqref="A13">
    <cfRule type="duplicateValues" dxfId="612" priority="844"/>
  </conditionalFormatting>
  <conditionalFormatting sqref="A14">
    <cfRule type="duplicateValues" dxfId="611" priority="843"/>
  </conditionalFormatting>
  <conditionalFormatting sqref="A18">
    <cfRule type="duplicateValues" dxfId="610" priority="841"/>
  </conditionalFormatting>
  <conditionalFormatting sqref="A17">
    <cfRule type="duplicateValues" dxfId="609" priority="842"/>
  </conditionalFormatting>
  <conditionalFormatting sqref="A19">
    <cfRule type="duplicateValues" dxfId="608" priority="840"/>
  </conditionalFormatting>
  <conditionalFormatting sqref="A15">
    <cfRule type="duplicateValues" dxfId="607" priority="839"/>
  </conditionalFormatting>
  <conditionalFormatting sqref="A16">
    <cfRule type="duplicateValues" dxfId="606" priority="838"/>
  </conditionalFormatting>
  <conditionalFormatting sqref="A22">
    <cfRule type="duplicateValues" dxfId="605" priority="837"/>
  </conditionalFormatting>
  <conditionalFormatting sqref="A20">
    <cfRule type="duplicateValues" dxfId="604" priority="836"/>
  </conditionalFormatting>
  <conditionalFormatting sqref="A21">
    <cfRule type="duplicateValues" dxfId="603" priority="835"/>
  </conditionalFormatting>
  <conditionalFormatting sqref="A23">
    <cfRule type="duplicateValues" dxfId="602" priority="834"/>
  </conditionalFormatting>
  <conditionalFormatting sqref="A6:A7">
    <cfRule type="duplicateValues" dxfId="601" priority="816"/>
  </conditionalFormatting>
  <conditionalFormatting sqref="B6">
    <cfRule type="duplicateValues" dxfId="600" priority="815"/>
  </conditionalFormatting>
  <conditionalFormatting sqref="B7">
    <cfRule type="duplicateValues" dxfId="599" priority="814"/>
  </conditionalFormatting>
  <conditionalFormatting sqref="B12">
    <cfRule type="duplicateValues" dxfId="598" priority="812"/>
  </conditionalFormatting>
  <conditionalFormatting sqref="B13">
    <cfRule type="duplicateValues" dxfId="597" priority="811"/>
  </conditionalFormatting>
  <conditionalFormatting sqref="B14">
    <cfRule type="duplicateValues" dxfId="596" priority="810"/>
  </conditionalFormatting>
  <conditionalFormatting sqref="B15">
    <cfRule type="duplicateValues" dxfId="595" priority="809"/>
  </conditionalFormatting>
  <conditionalFormatting sqref="B16">
    <cfRule type="duplicateValues" dxfId="594" priority="808"/>
  </conditionalFormatting>
  <conditionalFormatting sqref="B17">
    <cfRule type="duplicateValues" dxfId="593" priority="807"/>
  </conditionalFormatting>
  <conditionalFormatting sqref="B18">
    <cfRule type="duplicateValues" dxfId="592" priority="806"/>
  </conditionalFormatting>
  <conditionalFormatting sqref="B19">
    <cfRule type="duplicateValues" dxfId="591" priority="805"/>
  </conditionalFormatting>
  <conditionalFormatting sqref="B20">
    <cfRule type="duplicateValues" dxfId="590" priority="804"/>
  </conditionalFormatting>
  <conditionalFormatting sqref="B21">
    <cfRule type="duplicateValues" dxfId="589" priority="803"/>
  </conditionalFormatting>
  <conditionalFormatting sqref="B22">
    <cfRule type="duplicateValues" dxfId="588" priority="802"/>
  </conditionalFormatting>
  <conditionalFormatting sqref="B23">
    <cfRule type="duplicateValues" dxfId="587" priority="801"/>
  </conditionalFormatting>
  <conditionalFormatting sqref="A54">
    <cfRule type="duplicateValues" dxfId="586" priority="800"/>
  </conditionalFormatting>
  <conditionalFormatting sqref="J54">
    <cfRule type="expression" dxfId="585" priority="797">
      <formula>AND(OR($H54="Perfectiva",$H54="Somente teste",$H54="Teste + Plano",$H54="Eliminar"),J54&lt;&gt;"")</formula>
    </cfRule>
  </conditionalFormatting>
  <conditionalFormatting sqref="K54">
    <cfRule type="expression" dxfId="584" priority="796">
      <formula>AND(OR($H54="Perfectiva",$H54="Somente teste",$H54="Teste + Plano",$H54="Eliminar"),K54&lt;&gt;"")</formula>
    </cfRule>
  </conditionalFormatting>
  <conditionalFormatting sqref="L54">
    <cfRule type="expression" dxfId="583" priority="795">
      <formula>AND(OR($H54="Perfectiva",$H54="Somente teste",$H54="Teste + Plano",$H54="Eliminar"),L54&lt;&gt;"")</formula>
    </cfRule>
  </conditionalFormatting>
  <conditionalFormatting sqref="O54">
    <cfRule type="expression" dxfId="582" priority="794">
      <formula>"E(OU($H7=""Perfectiva"";$H7=""Eliminar"";$H7=""Somente teste"";$H7=""Teste + Plano"");O7&lt;&gt;"""")"</formula>
    </cfRule>
  </conditionalFormatting>
  <conditionalFormatting sqref="P54">
    <cfRule type="expression" dxfId="581" priority="793">
      <formula>"E(OU($H7=""Perfectiva"";$H7=""Eliminar"";$H7=""Somente teste"";$H7=""Teste + Plano"");P7&lt;&gt;"""")"</formula>
    </cfRule>
  </conditionalFormatting>
  <conditionalFormatting sqref="Q54">
    <cfRule type="expression" dxfId="580" priority="792">
      <formula>"E(OU($H7=""Perfectiva"";$H7=""Eliminar"";$H7=""Somente teste"";$H7=""Teste + Plano"");Q7&lt;&gt;"""")"</formula>
    </cfRule>
  </conditionalFormatting>
  <conditionalFormatting sqref="T54">
    <cfRule type="expression" dxfId="579" priority="791">
      <formula>ImpactoMaximo( INDIRECT( "T" &amp; ROW() ) )</formula>
    </cfRule>
  </conditionalFormatting>
  <conditionalFormatting sqref="A53">
    <cfRule type="duplicateValues" dxfId="578" priority="790"/>
  </conditionalFormatting>
  <conditionalFormatting sqref="J53">
    <cfRule type="expression" dxfId="577" priority="787">
      <formula>AND(OR($H53="Perfectiva",$H53="Somente teste",$H53="Teste + Plano",$H53="Eliminar"),J53&lt;&gt;"")</formula>
    </cfRule>
  </conditionalFormatting>
  <conditionalFormatting sqref="K53">
    <cfRule type="expression" dxfId="576" priority="786">
      <formula>AND(OR($H53="Perfectiva",$H53="Somente teste",$H53="Teste + Plano",$H53="Eliminar"),K53&lt;&gt;"")</formula>
    </cfRule>
  </conditionalFormatting>
  <conditionalFormatting sqref="L53">
    <cfRule type="expression" dxfId="575" priority="785">
      <formula>AND(OR($H53="Perfectiva",$H53="Somente teste",$H53="Teste + Plano",$H53="Eliminar"),L53&lt;&gt;"")</formula>
    </cfRule>
  </conditionalFormatting>
  <conditionalFormatting sqref="O53">
    <cfRule type="expression" dxfId="574" priority="784">
      <formula>"E(OU($H7=""Perfectiva"";$H7=""Eliminar"";$H7=""Somente teste"";$H7=""Teste + Plano"");O7&lt;&gt;"""")"</formula>
    </cfRule>
  </conditionalFormatting>
  <conditionalFormatting sqref="P53">
    <cfRule type="expression" dxfId="573" priority="783">
      <formula>"E(OU($H7=""Perfectiva"";$H7=""Eliminar"";$H7=""Somente teste"";$H7=""Teste + Plano"");P7&lt;&gt;"""")"</formula>
    </cfRule>
  </conditionalFormatting>
  <conditionalFormatting sqref="Q53">
    <cfRule type="expression" dxfId="572" priority="782">
      <formula>"E(OU($H7=""Perfectiva"";$H7=""Eliminar"";$H7=""Somente teste"";$H7=""Teste + Plano"");Q7&lt;&gt;"""")"</formula>
    </cfRule>
  </conditionalFormatting>
  <conditionalFormatting sqref="T53">
    <cfRule type="expression" dxfId="571" priority="781">
      <formula>ImpactoMaximo( INDIRECT( "T" &amp; ROW() ) )</formula>
    </cfRule>
  </conditionalFormatting>
  <conditionalFormatting sqref="A52">
    <cfRule type="duplicateValues" dxfId="570" priority="780"/>
  </conditionalFormatting>
  <conditionalFormatting sqref="J52">
    <cfRule type="expression" dxfId="569" priority="777">
      <formula>AND(OR($H52="Perfectiva",$H52="Somente teste",$H52="Teste + Plano",$H52="Eliminar"),J52&lt;&gt;"")</formula>
    </cfRule>
  </conditionalFormatting>
  <conditionalFormatting sqref="K52">
    <cfRule type="expression" dxfId="568" priority="776">
      <formula>AND(OR($H52="Perfectiva",$H52="Somente teste",$H52="Teste + Plano",$H52="Eliminar"),K52&lt;&gt;"")</formula>
    </cfRule>
  </conditionalFormatting>
  <conditionalFormatting sqref="L52">
    <cfRule type="expression" dxfId="567" priority="775">
      <formula>AND(OR($H52="Perfectiva",$H52="Somente teste",$H52="Teste + Plano",$H52="Eliminar"),L52&lt;&gt;"")</formula>
    </cfRule>
  </conditionalFormatting>
  <conditionalFormatting sqref="O52">
    <cfRule type="expression" dxfId="566" priority="774">
      <formula>"E(OU($H7=""Perfectiva"";$H7=""Eliminar"";$H7=""Somente teste"";$H7=""Teste + Plano"");O7&lt;&gt;"""")"</formula>
    </cfRule>
  </conditionalFormatting>
  <conditionalFormatting sqref="P52">
    <cfRule type="expression" dxfId="565" priority="773">
      <formula>"E(OU($H7=""Perfectiva"";$H7=""Eliminar"";$H7=""Somente teste"";$H7=""Teste + Plano"");P7&lt;&gt;"""")"</formula>
    </cfRule>
  </conditionalFormatting>
  <conditionalFormatting sqref="Q52">
    <cfRule type="expression" dxfId="564" priority="772">
      <formula>"E(OU($H7=""Perfectiva"";$H7=""Eliminar"";$H7=""Somente teste"";$H7=""Teste + Plano"");Q7&lt;&gt;"""")"</formula>
    </cfRule>
  </conditionalFormatting>
  <conditionalFormatting sqref="T52">
    <cfRule type="expression" dxfId="563" priority="771">
      <formula>ImpactoMaximo( INDIRECT( "T" &amp; ROW() ) )</formula>
    </cfRule>
  </conditionalFormatting>
  <conditionalFormatting sqref="A51">
    <cfRule type="duplicateValues" dxfId="562" priority="770"/>
  </conditionalFormatting>
  <conditionalFormatting sqref="J51">
    <cfRule type="expression" dxfId="561" priority="767">
      <formula>AND(OR($H51="Perfectiva",$H51="Somente teste",$H51="Teste + Plano",$H51="Eliminar"),J51&lt;&gt;"")</formula>
    </cfRule>
  </conditionalFormatting>
  <conditionalFormatting sqref="K51">
    <cfRule type="expression" dxfId="560" priority="766">
      <formula>AND(OR($H51="Perfectiva",$H51="Somente teste",$H51="Teste + Plano",$H51="Eliminar"),K51&lt;&gt;"")</formula>
    </cfRule>
  </conditionalFormatting>
  <conditionalFormatting sqref="L51">
    <cfRule type="expression" dxfId="559" priority="765">
      <formula>AND(OR($H51="Perfectiva",$H51="Somente teste",$H51="Teste + Plano",$H51="Eliminar"),L51&lt;&gt;"")</formula>
    </cfRule>
  </conditionalFormatting>
  <conditionalFormatting sqref="O51">
    <cfRule type="expression" dxfId="558" priority="764">
      <formula>"E(OU($H7=""Perfectiva"";$H7=""Eliminar"";$H7=""Somente teste"";$H7=""Teste + Plano"");O7&lt;&gt;"""")"</formula>
    </cfRule>
  </conditionalFormatting>
  <conditionalFormatting sqref="P51">
    <cfRule type="expression" dxfId="557" priority="763">
      <formula>"E(OU($H7=""Perfectiva"";$H7=""Eliminar"";$H7=""Somente teste"";$H7=""Teste + Plano"");P7&lt;&gt;"""")"</formula>
    </cfRule>
  </conditionalFormatting>
  <conditionalFormatting sqref="Q51">
    <cfRule type="expression" dxfId="556" priority="762">
      <formula>"E(OU($H7=""Perfectiva"";$H7=""Eliminar"";$H7=""Somente teste"";$H7=""Teste + Plano"");Q7&lt;&gt;"""")"</formula>
    </cfRule>
  </conditionalFormatting>
  <conditionalFormatting sqref="T51">
    <cfRule type="expression" dxfId="555" priority="761">
      <formula>ImpactoMaximo( INDIRECT( "T" &amp; ROW() ) )</formula>
    </cfRule>
  </conditionalFormatting>
  <conditionalFormatting sqref="A50">
    <cfRule type="duplicateValues" dxfId="554" priority="760"/>
  </conditionalFormatting>
  <conditionalFormatting sqref="J50">
    <cfRule type="expression" dxfId="553" priority="757">
      <formula>AND(OR($H50="Perfectiva",$H50="Somente teste",$H50="Teste + Plano",$H50="Eliminar"),J50&lt;&gt;"")</formula>
    </cfRule>
  </conditionalFormatting>
  <conditionalFormatting sqref="K50">
    <cfRule type="expression" dxfId="552" priority="756">
      <formula>AND(OR($H50="Perfectiva",$H50="Somente teste",$H50="Teste + Plano",$H50="Eliminar"),K50&lt;&gt;"")</formula>
    </cfRule>
  </conditionalFormatting>
  <conditionalFormatting sqref="L50">
    <cfRule type="expression" dxfId="551" priority="755">
      <formula>AND(OR($H50="Perfectiva",$H50="Somente teste",$H50="Teste + Plano",$H50="Eliminar"),L50&lt;&gt;"")</formula>
    </cfRule>
  </conditionalFormatting>
  <conditionalFormatting sqref="O50">
    <cfRule type="expression" dxfId="550" priority="754">
      <formula>"E(OU($H7=""Perfectiva"";$H7=""Eliminar"";$H7=""Somente teste"";$H7=""Teste + Plano"");O7&lt;&gt;"""")"</formula>
    </cfRule>
  </conditionalFormatting>
  <conditionalFormatting sqref="P50">
    <cfRule type="expression" dxfId="549" priority="753">
      <formula>"E(OU($H7=""Perfectiva"";$H7=""Eliminar"";$H7=""Somente teste"";$H7=""Teste + Plano"");P7&lt;&gt;"""")"</formula>
    </cfRule>
  </conditionalFormatting>
  <conditionalFormatting sqref="Q50">
    <cfRule type="expression" dxfId="548" priority="752">
      <formula>"E(OU($H7=""Perfectiva"";$H7=""Eliminar"";$H7=""Somente teste"";$H7=""Teste + Plano"");Q7&lt;&gt;"""")"</formula>
    </cfRule>
  </conditionalFormatting>
  <conditionalFormatting sqref="T50">
    <cfRule type="expression" dxfId="547" priority="751">
      <formula>ImpactoMaximo( INDIRECT( "T" &amp; ROW() ) )</formula>
    </cfRule>
  </conditionalFormatting>
  <conditionalFormatting sqref="A49">
    <cfRule type="duplicateValues" dxfId="546" priority="750"/>
  </conditionalFormatting>
  <conditionalFormatting sqref="J49">
    <cfRule type="expression" dxfId="545" priority="747">
      <formula>AND(OR($H49="Perfectiva",$H49="Somente teste",$H49="Teste + Plano",$H49="Eliminar"),J49&lt;&gt;"")</formula>
    </cfRule>
  </conditionalFormatting>
  <conditionalFormatting sqref="K49">
    <cfRule type="expression" dxfId="544" priority="746">
      <formula>AND(OR($H49="Perfectiva",$H49="Somente teste",$H49="Teste + Plano",$H49="Eliminar"),K49&lt;&gt;"")</formula>
    </cfRule>
  </conditionalFormatting>
  <conditionalFormatting sqref="L49">
    <cfRule type="expression" dxfId="543" priority="745">
      <formula>AND(OR($H49="Perfectiva",$H49="Somente teste",$H49="Teste + Plano",$H49="Eliminar"),L49&lt;&gt;"")</formula>
    </cfRule>
  </conditionalFormatting>
  <conditionalFormatting sqref="O49">
    <cfRule type="expression" dxfId="542" priority="744">
      <formula>"E(OU($H7=""Perfectiva"";$H7=""Eliminar"";$H7=""Somente teste"";$H7=""Teste + Plano"");O7&lt;&gt;"""")"</formula>
    </cfRule>
  </conditionalFormatting>
  <conditionalFormatting sqref="P49">
    <cfRule type="expression" dxfId="541" priority="743">
      <formula>"E(OU($H7=""Perfectiva"";$H7=""Eliminar"";$H7=""Somente teste"";$H7=""Teste + Plano"");P7&lt;&gt;"""")"</formula>
    </cfRule>
  </conditionalFormatting>
  <conditionalFormatting sqref="Q49">
    <cfRule type="expression" dxfId="540" priority="742">
      <formula>"E(OU($H7=""Perfectiva"";$H7=""Eliminar"";$H7=""Somente teste"";$H7=""Teste + Plano"");Q7&lt;&gt;"""")"</formula>
    </cfRule>
  </conditionalFormatting>
  <conditionalFormatting sqref="T49">
    <cfRule type="expression" dxfId="539" priority="741">
      <formula>ImpactoMaximo( INDIRECT( "T" &amp; ROW() ) )</formula>
    </cfRule>
  </conditionalFormatting>
  <conditionalFormatting sqref="A48">
    <cfRule type="duplicateValues" dxfId="538" priority="740"/>
  </conditionalFormatting>
  <conditionalFormatting sqref="J48">
    <cfRule type="expression" dxfId="537" priority="737">
      <formula>AND(OR($H48="Perfectiva",$H48="Somente teste",$H48="Teste + Plano",$H48="Eliminar"),J48&lt;&gt;"")</formula>
    </cfRule>
  </conditionalFormatting>
  <conditionalFormatting sqref="K48">
    <cfRule type="expression" dxfId="536" priority="736">
      <formula>AND(OR($H48="Perfectiva",$H48="Somente teste",$H48="Teste + Plano",$H48="Eliminar"),K48&lt;&gt;"")</formula>
    </cfRule>
  </conditionalFormatting>
  <conditionalFormatting sqref="L48">
    <cfRule type="expression" dxfId="535" priority="735">
      <formula>AND(OR($H48="Perfectiva",$H48="Somente teste",$H48="Teste + Plano",$H48="Eliminar"),L48&lt;&gt;"")</formula>
    </cfRule>
  </conditionalFormatting>
  <conditionalFormatting sqref="O48">
    <cfRule type="expression" dxfId="534" priority="734">
      <formula>"E(OU($H7=""Perfectiva"";$H7=""Eliminar"";$H7=""Somente teste"";$H7=""Teste + Plano"");O7&lt;&gt;"""")"</formula>
    </cfRule>
  </conditionalFormatting>
  <conditionalFormatting sqref="P48">
    <cfRule type="expression" dxfId="533" priority="733">
      <formula>"E(OU($H7=""Perfectiva"";$H7=""Eliminar"";$H7=""Somente teste"";$H7=""Teste + Plano"");P7&lt;&gt;"""")"</formula>
    </cfRule>
  </conditionalFormatting>
  <conditionalFormatting sqref="Q48">
    <cfRule type="expression" dxfId="532" priority="732">
      <formula>"E(OU($H7=""Perfectiva"";$H7=""Eliminar"";$H7=""Somente teste"";$H7=""Teste + Plano"");Q7&lt;&gt;"""")"</formula>
    </cfRule>
  </conditionalFormatting>
  <conditionalFormatting sqref="T48">
    <cfRule type="expression" dxfId="531" priority="731">
      <formula>ImpactoMaximo( INDIRECT( "T" &amp; ROW() ) )</formula>
    </cfRule>
  </conditionalFormatting>
  <conditionalFormatting sqref="A47">
    <cfRule type="duplicateValues" dxfId="530" priority="730"/>
  </conditionalFormatting>
  <conditionalFormatting sqref="J47">
    <cfRule type="expression" dxfId="529" priority="727">
      <formula>AND(OR($H47="Perfectiva",$H47="Somente teste",$H47="Teste + Plano",$H47="Eliminar"),J47&lt;&gt;"")</formula>
    </cfRule>
  </conditionalFormatting>
  <conditionalFormatting sqref="K47">
    <cfRule type="expression" dxfId="528" priority="726">
      <formula>AND(OR($H47="Perfectiva",$H47="Somente teste",$H47="Teste + Plano",$H47="Eliminar"),K47&lt;&gt;"")</formula>
    </cfRule>
  </conditionalFormatting>
  <conditionalFormatting sqref="L47">
    <cfRule type="expression" dxfId="527" priority="725">
      <formula>AND(OR($H47="Perfectiva",$H47="Somente teste",$H47="Teste + Plano",$H47="Eliminar"),L47&lt;&gt;"")</formula>
    </cfRule>
  </conditionalFormatting>
  <conditionalFormatting sqref="O47">
    <cfRule type="expression" dxfId="526" priority="724">
      <formula>"E(OU($H7=""Perfectiva"";$H7=""Eliminar"";$H7=""Somente teste"";$H7=""Teste + Plano"");O7&lt;&gt;"""")"</formula>
    </cfRule>
  </conditionalFormatting>
  <conditionalFormatting sqref="P47">
    <cfRule type="expression" dxfId="525" priority="723">
      <formula>"E(OU($H7=""Perfectiva"";$H7=""Eliminar"";$H7=""Somente teste"";$H7=""Teste + Plano"");P7&lt;&gt;"""")"</formula>
    </cfRule>
  </conditionalFormatting>
  <conditionalFormatting sqref="Q47">
    <cfRule type="expression" dxfId="524" priority="722">
      <formula>"E(OU($H7=""Perfectiva"";$H7=""Eliminar"";$H7=""Somente teste"";$H7=""Teste + Plano"");Q7&lt;&gt;"""")"</formula>
    </cfRule>
  </conditionalFormatting>
  <conditionalFormatting sqref="T47">
    <cfRule type="expression" dxfId="523" priority="721">
      <formula>ImpactoMaximo( INDIRECT( "T" &amp; ROW() ) )</formula>
    </cfRule>
  </conditionalFormatting>
  <conditionalFormatting sqref="A46">
    <cfRule type="duplicateValues" dxfId="522" priority="720"/>
  </conditionalFormatting>
  <conditionalFormatting sqref="J46">
    <cfRule type="expression" dxfId="521" priority="717">
      <formula>AND(OR($H46="Perfectiva",$H46="Somente teste",$H46="Teste + Plano",$H46="Eliminar"),J46&lt;&gt;"")</formula>
    </cfRule>
  </conditionalFormatting>
  <conditionalFormatting sqref="K46">
    <cfRule type="expression" dxfId="520" priority="716">
      <formula>AND(OR($H46="Perfectiva",$H46="Somente teste",$H46="Teste + Plano",$H46="Eliminar"),K46&lt;&gt;"")</formula>
    </cfRule>
  </conditionalFormatting>
  <conditionalFormatting sqref="L46">
    <cfRule type="expression" dxfId="519" priority="715">
      <formula>AND(OR($H46="Perfectiva",$H46="Somente teste",$H46="Teste + Plano",$H46="Eliminar"),L46&lt;&gt;"")</formula>
    </cfRule>
  </conditionalFormatting>
  <conditionalFormatting sqref="O46">
    <cfRule type="expression" dxfId="518" priority="714">
      <formula>"E(OU($H7=""Perfectiva"";$H7=""Eliminar"";$H7=""Somente teste"";$H7=""Teste + Plano"");O7&lt;&gt;"""")"</formula>
    </cfRule>
  </conditionalFormatting>
  <conditionalFormatting sqref="P46">
    <cfRule type="expression" dxfId="517" priority="713">
      <formula>"E(OU($H7=""Perfectiva"";$H7=""Eliminar"";$H7=""Somente teste"";$H7=""Teste + Plano"");P7&lt;&gt;"""")"</formula>
    </cfRule>
  </conditionalFormatting>
  <conditionalFormatting sqref="Q46">
    <cfRule type="expression" dxfId="516" priority="712">
      <formula>"E(OU($H7=""Perfectiva"";$H7=""Eliminar"";$H7=""Somente teste"";$H7=""Teste + Plano"");Q7&lt;&gt;"""")"</formula>
    </cfRule>
  </conditionalFormatting>
  <conditionalFormatting sqref="T46">
    <cfRule type="expression" dxfId="515" priority="711">
      <formula>ImpactoMaximo( INDIRECT( "T" &amp; ROW() ) )</formula>
    </cfRule>
  </conditionalFormatting>
  <conditionalFormatting sqref="A45">
    <cfRule type="duplicateValues" dxfId="514" priority="710"/>
  </conditionalFormatting>
  <conditionalFormatting sqref="J45">
    <cfRule type="expression" dxfId="513" priority="707">
      <formula>AND(OR($H45="Perfectiva",$H45="Somente teste",$H45="Teste + Plano",$H45="Eliminar"),J45&lt;&gt;"")</formula>
    </cfRule>
  </conditionalFormatting>
  <conditionalFormatting sqref="K45">
    <cfRule type="expression" dxfId="512" priority="706">
      <formula>AND(OR($H45="Perfectiva",$H45="Somente teste",$H45="Teste + Plano",$H45="Eliminar"),K45&lt;&gt;"")</formula>
    </cfRule>
  </conditionalFormatting>
  <conditionalFormatting sqref="L45">
    <cfRule type="expression" dxfId="511" priority="705">
      <formula>AND(OR($H45="Perfectiva",$H45="Somente teste",$H45="Teste + Plano",$H45="Eliminar"),L45&lt;&gt;"")</formula>
    </cfRule>
  </conditionalFormatting>
  <conditionalFormatting sqref="O45">
    <cfRule type="expression" dxfId="510" priority="704">
      <formula>"E(OU($H7=""Perfectiva"";$H7=""Eliminar"";$H7=""Somente teste"";$H7=""Teste + Plano"");O7&lt;&gt;"""")"</formula>
    </cfRule>
  </conditionalFormatting>
  <conditionalFormatting sqref="P45">
    <cfRule type="expression" dxfId="509" priority="703">
      <formula>"E(OU($H7=""Perfectiva"";$H7=""Eliminar"";$H7=""Somente teste"";$H7=""Teste + Plano"");P7&lt;&gt;"""")"</formula>
    </cfRule>
  </conditionalFormatting>
  <conditionalFormatting sqref="Q45">
    <cfRule type="expression" dxfId="508" priority="702">
      <formula>"E(OU($H7=""Perfectiva"";$H7=""Eliminar"";$H7=""Somente teste"";$H7=""Teste + Plano"");Q7&lt;&gt;"""")"</formula>
    </cfRule>
  </conditionalFormatting>
  <conditionalFormatting sqref="T45">
    <cfRule type="expression" dxfId="507" priority="701">
      <formula>ImpactoMaximo( INDIRECT( "T" &amp; ROW() ) )</formula>
    </cfRule>
  </conditionalFormatting>
  <conditionalFormatting sqref="A44">
    <cfRule type="duplicateValues" dxfId="506" priority="700"/>
  </conditionalFormatting>
  <conditionalFormatting sqref="J44">
    <cfRule type="expression" dxfId="505" priority="697">
      <formula>AND(OR($H44="Perfectiva",$H44="Somente teste",$H44="Teste + Plano",$H44="Eliminar"),J44&lt;&gt;"")</formula>
    </cfRule>
  </conditionalFormatting>
  <conditionalFormatting sqref="K44">
    <cfRule type="expression" dxfId="504" priority="696">
      <formula>AND(OR($H44="Perfectiva",$H44="Somente teste",$H44="Teste + Plano",$H44="Eliminar"),K44&lt;&gt;"")</formula>
    </cfRule>
  </conditionalFormatting>
  <conditionalFormatting sqref="L44">
    <cfRule type="expression" dxfId="503" priority="695">
      <formula>AND(OR($H44="Perfectiva",$H44="Somente teste",$H44="Teste + Plano",$H44="Eliminar"),L44&lt;&gt;"")</formula>
    </cfRule>
  </conditionalFormatting>
  <conditionalFormatting sqref="O44">
    <cfRule type="expression" dxfId="502" priority="694">
      <formula>"E(OU($H7=""Perfectiva"";$H7=""Eliminar"";$H7=""Somente teste"";$H7=""Teste + Plano"");O7&lt;&gt;"""")"</formula>
    </cfRule>
  </conditionalFormatting>
  <conditionalFormatting sqref="P44">
    <cfRule type="expression" dxfId="501" priority="693">
      <formula>"E(OU($H7=""Perfectiva"";$H7=""Eliminar"";$H7=""Somente teste"";$H7=""Teste + Plano"");P7&lt;&gt;"""")"</formula>
    </cfRule>
  </conditionalFormatting>
  <conditionalFormatting sqref="Q44">
    <cfRule type="expression" dxfId="500" priority="692">
      <formula>"E(OU($H7=""Perfectiva"";$H7=""Eliminar"";$H7=""Somente teste"";$H7=""Teste + Plano"");Q7&lt;&gt;"""")"</formula>
    </cfRule>
  </conditionalFormatting>
  <conditionalFormatting sqref="T44">
    <cfRule type="expression" dxfId="499" priority="691">
      <formula>ImpactoMaximo( INDIRECT( "T" &amp; ROW() ) )</formula>
    </cfRule>
  </conditionalFormatting>
  <conditionalFormatting sqref="A43">
    <cfRule type="duplicateValues" dxfId="498" priority="690"/>
  </conditionalFormatting>
  <conditionalFormatting sqref="J43">
    <cfRule type="expression" dxfId="497" priority="687">
      <formula>AND(OR($H43="Perfectiva",$H43="Somente teste",$H43="Teste + Plano",$H43="Eliminar"),J43&lt;&gt;"")</formula>
    </cfRule>
  </conditionalFormatting>
  <conditionalFormatting sqref="K43">
    <cfRule type="expression" dxfId="496" priority="686">
      <formula>AND(OR($H43="Perfectiva",$H43="Somente teste",$H43="Teste + Plano",$H43="Eliminar"),K43&lt;&gt;"")</formula>
    </cfRule>
  </conditionalFormatting>
  <conditionalFormatting sqref="L43">
    <cfRule type="expression" dxfId="495" priority="685">
      <formula>AND(OR($H43="Perfectiva",$H43="Somente teste",$H43="Teste + Plano",$H43="Eliminar"),L43&lt;&gt;"")</formula>
    </cfRule>
  </conditionalFormatting>
  <conditionalFormatting sqref="O43">
    <cfRule type="expression" dxfId="494" priority="684">
      <formula>"E(OU($H7=""Perfectiva"";$H7=""Eliminar"";$H7=""Somente teste"";$H7=""Teste + Plano"");O7&lt;&gt;"""")"</formula>
    </cfRule>
  </conditionalFormatting>
  <conditionalFormatting sqref="P43">
    <cfRule type="expression" dxfId="493" priority="683">
      <formula>"E(OU($H7=""Perfectiva"";$H7=""Eliminar"";$H7=""Somente teste"";$H7=""Teste + Plano"");P7&lt;&gt;"""")"</formula>
    </cfRule>
  </conditionalFormatting>
  <conditionalFormatting sqref="Q43">
    <cfRule type="expression" dxfId="492" priority="682">
      <formula>"E(OU($H7=""Perfectiva"";$H7=""Eliminar"";$H7=""Somente teste"";$H7=""Teste + Plano"");Q7&lt;&gt;"""")"</formula>
    </cfRule>
  </conditionalFormatting>
  <conditionalFormatting sqref="T43">
    <cfRule type="expression" dxfId="491" priority="681">
      <formula>ImpactoMaximo( INDIRECT( "T" &amp; ROW() ) )</formula>
    </cfRule>
  </conditionalFormatting>
  <conditionalFormatting sqref="A42">
    <cfRule type="duplicateValues" dxfId="490" priority="680"/>
  </conditionalFormatting>
  <conditionalFormatting sqref="J42">
    <cfRule type="expression" dxfId="489" priority="677">
      <formula>AND(OR($H42="Perfectiva",$H42="Somente teste",$H42="Teste + Plano",$H42="Eliminar"),J42&lt;&gt;"")</formula>
    </cfRule>
  </conditionalFormatting>
  <conditionalFormatting sqref="K42">
    <cfRule type="expression" dxfId="488" priority="676">
      <formula>AND(OR($H42="Perfectiva",$H42="Somente teste",$H42="Teste + Plano",$H42="Eliminar"),K42&lt;&gt;"")</formula>
    </cfRule>
  </conditionalFormatting>
  <conditionalFormatting sqref="L42">
    <cfRule type="expression" dxfId="487" priority="675">
      <formula>AND(OR($H42="Perfectiva",$H42="Somente teste",$H42="Teste + Plano",$H42="Eliminar"),L42&lt;&gt;"")</formula>
    </cfRule>
  </conditionalFormatting>
  <conditionalFormatting sqref="O42">
    <cfRule type="expression" dxfId="486" priority="674">
      <formula>"E(OU($H7=""Perfectiva"";$H7=""Eliminar"";$H7=""Somente teste"";$H7=""Teste + Plano"");O7&lt;&gt;"""")"</formula>
    </cfRule>
  </conditionalFormatting>
  <conditionalFormatting sqref="P42">
    <cfRule type="expression" dxfId="485" priority="673">
      <formula>"E(OU($H7=""Perfectiva"";$H7=""Eliminar"";$H7=""Somente teste"";$H7=""Teste + Plano"");P7&lt;&gt;"""")"</formula>
    </cfRule>
  </conditionalFormatting>
  <conditionalFormatting sqref="Q42">
    <cfRule type="expression" dxfId="484" priority="672">
      <formula>"E(OU($H7=""Perfectiva"";$H7=""Eliminar"";$H7=""Somente teste"";$H7=""Teste + Plano"");Q7&lt;&gt;"""")"</formula>
    </cfRule>
  </conditionalFormatting>
  <conditionalFormatting sqref="T42">
    <cfRule type="expression" dxfId="483" priority="671">
      <formula>ImpactoMaximo( INDIRECT( "T" &amp; ROW() ) )</formula>
    </cfRule>
  </conditionalFormatting>
  <conditionalFormatting sqref="A41">
    <cfRule type="duplicateValues" dxfId="482" priority="670"/>
  </conditionalFormatting>
  <conditionalFormatting sqref="J41">
    <cfRule type="expression" dxfId="481" priority="667">
      <formula>AND(OR($H41="Perfectiva",$H41="Somente teste",$H41="Teste + Plano",$H41="Eliminar"),J41&lt;&gt;"")</formula>
    </cfRule>
  </conditionalFormatting>
  <conditionalFormatting sqref="K41">
    <cfRule type="expression" dxfId="480" priority="666">
      <formula>AND(OR($H41="Perfectiva",$H41="Somente teste",$H41="Teste + Plano",$H41="Eliminar"),K41&lt;&gt;"")</formula>
    </cfRule>
  </conditionalFormatting>
  <conditionalFormatting sqref="L41">
    <cfRule type="expression" dxfId="479" priority="665">
      <formula>AND(OR($H41="Perfectiva",$H41="Somente teste",$H41="Teste + Plano",$H41="Eliminar"),L41&lt;&gt;"")</formula>
    </cfRule>
  </conditionalFormatting>
  <conditionalFormatting sqref="O41">
    <cfRule type="expression" dxfId="478" priority="664">
      <formula>"E(OU($H7=""Perfectiva"";$H7=""Eliminar"";$H7=""Somente teste"";$H7=""Teste + Plano"");O7&lt;&gt;"""")"</formula>
    </cfRule>
  </conditionalFormatting>
  <conditionalFormatting sqref="P41">
    <cfRule type="expression" dxfId="477" priority="663">
      <formula>"E(OU($H7=""Perfectiva"";$H7=""Eliminar"";$H7=""Somente teste"";$H7=""Teste + Plano"");P7&lt;&gt;"""")"</formula>
    </cfRule>
  </conditionalFormatting>
  <conditionalFormatting sqref="Q41">
    <cfRule type="expression" dxfId="476" priority="662">
      <formula>"E(OU($H7=""Perfectiva"";$H7=""Eliminar"";$H7=""Somente teste"";$H7=""Teste + Plano"");Q7&lt;&gt;"""")"</formula>
    </cfRule>
  </conditionalFormatting>
  <conditionalFormatting sqref="T41">
    <cfRule type="expression" dxfId="475" priority="661">
      <formula>ImpactoMaximo( INDIRECT( "T" &amp; ROW() ) )</formula>
    </cfRule>
  </conditionalFormatting>
  <conditionalFormatting sqref="A30">
    <cfRule type="duplicateValues" dxfId="474" priority="660"/>
  </conditionalFormatting>
  <conditionalFormatting sqref="J30">
    <cfRule type="expression" dxfId="473" priority="657">
      <formula>AND(OR($H30="Perfectiva",$H30="Somente teste",$H30="Teste + Plano",$H30="Eliminar"),J30&lt;&gt;"")</formula>
    </cfRule>
  </conditionalFormatting>
  <conditionalFormatting sqref="K30">
    <cfRule type="expression" dxfId="472" priority="656">
      <formula>AND(OR($H30="Perfectiva",$H30="Somente teste",$H30="Teste + Plano",$H30="Eliminar"),K30&lt;&gt;"")</formula>
    </cfRule>
  </conditionalFormatting>
  <conditionalFormatting sqref="L30">
    <cfRule type="expression" dxfId="471" priority="655">
      <formula>AND(OR($H30="Perfectiva",$H30="Somente teste",$H30="Teste + Plano",$H30="Eliminar"),L30&lt;&gt;"")</formula>
    </cfRule>
  </conditionalFormatting>
  <conditionalFormatting sqref="O30">
    <cfRule type="expression" dxfId="470" priority="654">
      <formula>"E(OU($H7=""Perfectiva"";$H7=""Eliminar"";$H7=""Somente teste"";$H7=""Teste + Plano"");O7&lt;&gt;"""")"</formula>
    </cfRule>
  </conditionalFormatting>
  <conditionalFormatting sqref="P30">
    <cfRule type="expression" dxfId="469" priority="653">
      <formula>"E(OU($H7=""Perfectiva"";$H7=""Eliminar"";$H7=""Somente teste"";$H7=""Teste + Plano"");P7&lt;&gt;"""")"</formula>
    </cfRule>
  </conditionalFormatting>
  <conditionalFormatting sqref="Q30">
    <cfRule type="expression" dxfId="468" priority="652">
      <formula>"E(OU($H7=""Perfectiva"";$H7=""Eliminar"";$H7=""Somente teste"";$H7=""Teste + Plano"");Q7&lt;&gt;"""")"</formula>
    </cfRule>
  </conditionalFormatting>
  <conditionalFormatting sqref="T30">
    <cfRule type="expression" dxfId="467" priority="651">
      <formula>ImpactoMaximo( INDIRECT( "T" &amp; ROW() ) )</formula>
    </cfRule>
  </conditionalFormatting>
  <conditionalFormatting sqref="A29">
    <cfRule type="duplicateValues" dxfId="466" priority="650"/>
  </conditionalFormatting>
  <conditionalFormatting sqref="J29">
    <cfRule type="expression" dxfId="465" priority="647">
      <formula>AND(OR($H29="Perfectiva",$H29="Somente teste",$H29="Teste + Plano",$H29="Eliminar"),J29&lt;&gt;"")</formula>
    </cfRule>
  </conditionalFormatting>
  <conditionalFormatting sqref="K29">
    <cfRule type="expression" dxfId="464" priority="646">
      <formula>AND(OR($H29="Perfectiva",$H29="Somente teste",$H29="Teste + Plano",$H29="Eliminar"),K29&lt;&gt;"")</formula>
    </cfRule>
  </conditionalFormatting>
  <conditionalFormatting sqref="L29">
    <cfRule type="expression" dxfId="463" priority="645">
      <formula>AND(OR($H29="Perfectiva",$H29="Somente teste",$H29="Teste + Plano",$H29="Eliminar"),L29&lt;&gt;"")</formula>
    </cfRule>
  </conditionalFormatting>
  <conditionalFormatting sqref="O29">
    <cfRule type="expression" dxfId="462" priority="644">
      <formula>"E(OU($H7=""Perfectiva"";$H7=""Eliminar"";$H7=""Somente teste"";$H7=""Teste + Plano"");O7&lt;&gt;"""")"</formula>
    </cfRule>
  </conditionalFormatting>
  <conditionalFormatting sqref="P29">
    <cfRule type="expression" dxfId="461" priority="643">
      <formula>"E(OU($H7=""Perfectiva"";$H7=""Eliminar"";$H7=""Somente teste"";$H7=""Teste + Plano"");P7&lt;&gt;"""")"</formula>
    </cfRule>
  </conditionalFormatting>
  <conditionalFormatting sqref="Q29">
    <cfRule type="expression" dxfId="460" priority="642">
      <formula>"E(OU($H7=""Perfectiva"";$H7=""Eliminar"";$H7=""Somente teste"";$H7=""Teste + Plano"");Q7&lt;&gt;"""")"</formula>
    </cfRule>
  </conditionalFormatting>
  <conditionalFormatting sqref="T29">
    <cfRule type="expression" dxfId="459" priority="641">
      <formula>ImpactoMaximo( INDIRECT( "T" &amp; ROW() ) )</formula>
    </cfRule>
  </conditionalFormatting>
  <conditionalFormatting sqref="A28">
    <cfRule type="duplicateValues" dxfId="458" priority="640"/>
  </conditionalFormatting>
  <conditionalFormatting sqref="J28">
    <cfRule type="expression" dxfId="457" priority="637">
      <formula>AND(OR($H28="Perfectiva",$H28="Somente teste",$H28="Teste + Plano",$H28="Eliminar"),J28&lt;&gt;"")</formula>
    </cfRule>
  </conditionalFormatting>
  <conditionalFormatting sqref="K28">
    <cfRule type="expression" dxfId="456" priority="636">
      <formula>AND(OR($H28="Perfectiva",$H28="Somente teste",$H28="Teste + Plano",$H28="Eliminar"),K28&lt;&gt;"")</formula>
    </cfRule>
  </conditionalFormatting>
  <conditionalFormatting sqref="L28">
    <cfRule type="expression" dxfId="455" priority="635">
      <formula>AND(OR($H28="Perfectiva",$H28="Somente teste",$H28="Teste + Plano",$H28="Eliminar"),L28&lt;&gt;"")</formula>
    </cfRule>
  </conditionalFormatting>
  <conditionalFormatting sqref="O28">
    <cfRule type="expression" dxfId="454" priority="634">
      <formula>"E(OU($H7=""Perfectiva"";$H7=""Eliminar"";$H7=""Somente teste"";$H7=""Teste + Plano"");O7&lt;&gt;"""")"</formula>
    </cfRule>
  </conditionalFormatting>
  <conditionalFormatting sqref="P28">
    <cfRule type="expression" dxfId="453" priority="633">
      <formula>"E(OU($H7=""Perfectiva"";$H7=""Eliminar"";$H7=""Somente teste"";$H7=""Teste + Plano"");P7&lt;&gt;"""")"</formula>
    </cfRule>
  </conditionalFormatting>
  <conditionalFormatting sqref="Q28">
    <cfRule type="expression" dxfId="452" priority="632">
      <formula>"E(OU($H7=""Perfectiva"";$H7=""Eliminar"";$H7=""Somente teste"";$H7=""Teste + Plano"");Q7&lt;&gt;"""")"</formula>
    </cfRule>
  </conditionalFormatting>
  <conditionalFormatting sqref="T28">
    <cfRule type="expression" dxfId="451" priority="631">
      <formula>ImpactoMaximo( INDIRECT( "T" &amp; ROW() ) )</formula>
    </cfRule>
  </conditionalFormatting>
  <conditionalFormatting sqref="A27">
    <cfRule type="duplicateValues" dxfId="450" priority="630"/>
  </conditionalFormatting>
  <conditionalFormatting sqref="J27">
    <cfRule type="expression" dxfId="449" priority="627">
      <formula>AND(OR($H27="Perfectiva",$H27="Somente teste",$H27="Teste + Plano",$H27="Eliminar"),J27&lt;&gt;"")</formula>
    </cfRule>
  </conditionalFormatting>
  <conditionalFormatting sqref="K27">
    <cfRule type="expression" dxfId="448" priority="626">
      <formula>AND(OR($H27="Perfectiva",$H27="Somente teste",$H27="Teste + Plano",$H27="Eliminar"),K27&lt;&gt;"")</formula>
    </cfRule>
  </conditionalFormatting>
  <conditionalFormatting sqref="L27">
    <cfRule type="expression" dxfId="447" priority="625">
      <formula>AND(OR($H27="Perfectiva",$H27="Somente teste",$H27="Teste + Plano",$H27="Eliminar"),L27&lt;&gt;"")</formula>
    </cfRule>
  </conditionalFormatting>
  <conditionalFormatting sqref="O27">
    <cfRule type="expression" dxfId="446" priority="624">
      <formula>"E(OU($H7=""Perfectiva"";$H7=""Eliminar"";$H7=""Somente teste"";$H7=""Teste + Plano"");O7&lt;&gt;"""")"</formula>
    </cfRule>
  </conditionalFormatting>
  <conditionalFormatting sqref="P27">
    <cfRule type="expression" dxfId="445" priority="623">
      <formula>"E(OU($H7=""Perfectiva"";$H7=""Eliminar"";$H7=""Somente teste"";$H7=""Teste + Plano"");P7&lt;&gt;"""")"</formula>
    </cfRule>
  </conditionalFormatting>
  <conditionalFormatting sqref="Q27">
    <cfRule type="expression" dxfId="444" priority="622">
      <formula>"E(OU($H7=""Perfectiva"";$H7=""Eliminar"";$H7=""Somente teste"";$H7=""Teste + Plano"");Q7&lt;&gt;"""")"</formula>
    </cfRule>
  </conditionalFormatting>
  <conditionalFormatting sqref="T27">
    <cfRule type="expression" dxfId="443" priority="621">
      <formula>ImpactoMaximo( INDIRECT( "T" &amp; ROW() ) )</formula>
    </cfRule>
  </conditionalFormatting>
  <conditionalFormatting sqref="A26">
    <cfRule type="duplicateValues" dxfId="442" priority="620"/>
  </conditionalFormatting>
  <conditionalFormatting sqref="J26">
    <cfRule type="expression" dxfId="441" priority="617">
      <formula>AND(OR($H26="Perfectiva",$H26="Somente teste",$H26="Teste + Plano",$H26="Eliminar"),J26&lt;&gt;"")</formula>
    </cfRule>
  </conditionalFormatting>
  <conditionalFormatting sqref="K26">
    <cfRule type="expression" dxfId="440" priority="616">
      <formula>AND(OR($H26="Perfectiva",$H26="Somente teste",$H26="Teste + Plano",$H26="Eliminar"),K26&lt;&gt;"")</formula>
    </cfRule>
  </conditionalFormatting>
  <conditionalFormatting sqref="L26">
    <cfRule type="expression" dxfId="439" priority="615">
      <formula>AND(OR($H26="Perfectiva",$H26="Somente teste",$H26="Teste + Plano",$H26="Eliminar"),L26&lt;&gt;"")</formula>
    </cfRule>
  </conditionalFormatting>
  <conditionalFormatting sqref="O26">
    <cfRule type="expression" dxfId="438" priority="614">
      <formula>"E(OU($H7=""Perfectiva"";$H7=""Eliminar"";$H7=""Somente teste"";$H7=""Teste + Plano"");O7&lt;&gt;"""")"</formula>
    </cfRule>
  </conditionalFormatting>
  <conditionalFormatting sqref="P26">
    <cfRule type="expression" dxfId="437" priority="613">
      <formula>"E(OU($H7=""Perfectiva"";$H7=""Eliminar"";$H7=""Somente teste"";$H7=""Teste + Plano"");P7&lt;&gt;"""")"</formula>
    </cfRule>
  </conditionalFormatting>
  <conditionalFormatting sqref="Q26">
    <cfRule type="expression" dxfId="436" priority="612">
      <formula>"E(OU($H7=""Perfectiva"";$H7=""Eliminar"";$H7=""Somente teste"";$H7=""Teste + Plano"");Q7&lt;&gt;"""")"</formula>
    </cfRule>
  </conditionalFormatting>
  <conditionalFormatting sqref="T26">
    <cfRule type="expression" dxfId="435" priority="611">
      <formula>ImpactoMaximo( INDIRECT( "T" &amp; ROW() ) )</formula>
    </cfRule>
  </conditionalFormatting>
  <conditionalFormatting sqref="A25">
    <cfRule type="duplicateValues" dxfId="434" priority="610"/>
  </conditionalFormatting>
  <conditionalFormatting sqref="J25">
    <cfRule type="expression" dxfId="433" priority="607">
      <formula>AND(OR($H25="Perfectiva",$H25="Somente teste",$H25="Teste + Plano",$H25="Eliminar"),J25&lt;&gt;"")</formula>
    </cfRule>
  </conditionalFormatting>
  <conditionalFormatting sqref="K25">
    <cfRule type="expression" dxfId="432" priority="606">
      <formula>AND(OR($H25="Perfectiva",$H25="Somente teste",$H25="Teste + Plano",$H25="Eliminar"),K25&lt;&gt;"")</formula>
    </cfRule>
  </conditionalFormatting>
  <conditionalFormatting sqref="L25">
    <cfRule type="expression" dxfId="431" priority="605">
      <formula>AND(OR($H25="Perfectiva",$H25="Somente teste",$H25="Teste + Plano",$H25="Eliminar"),L25&lt;&gt;"")</formula>
    </cfRule>
  </conditionalFormatting>
  <conditionalFormatting sqref="O25">
    <cfRule type="expression" dxfId="430" priority="604">
      <formula>"E(OU($H7=""Perfectiva"";$H7=""Eliminar"";$H7=""Somente teste"";$H7=""Teste + Plano"");O7&lt;&gt;"""")"</formula>
    </cfRule>
  </conditionalFormatting>
  <conditionalFormatting sqref="P25">
    <cfRule type="expression" dxfId="429" priority="603">
      <formula>"E(OU($H7=""Perfectiva"";$H7=""Eliminar"";$H7=""Somente teste"";$H7=""Teste + Plano"");P7&lt;&gt;"""")"</formula>
    </cfRule>
  </conditionalFormatting>
  <conditionalFormatting sqref="Q25">
    <cfRule type="expression" dxfId="428" priority="602">
      <formula>"E(OU($H7=""Perfectiva"";$H7=""Eliminar"";$H7=""Somente teste"";$H7=""Teste + Plano"");Q7&lt;&gt;"""")"</formula>
    </cfRule>
  </conditionalFormatting>
  <conditionalFormatting sqref="T25">
    <cfRule type="expression" dxfId="427" priority="601">
      <formula>ImpactoMaximo( INDIRECT( "T" &amp; ROW() ) )</formula>
    </cfRule>
  </conditionalFormatting>
  <conditionalFormatting sqref="A24">
    <cfRule type="duplicateValues" dxfId="426" priority="600"/>
  </conditionalFormatting>
  <conditionalFormatting sqref="J24">
    <cfRule type="expression" dxfId="425" priority="597">
      <formula>AND(OR($H24="Perfectiva",$H24="Somente teste",$H24="Teste + Plano",$H24="Eliminar"),J24&lt;&gt;"")</formula>
    </cfRule>
  </conditionalFormatting>
  <conditionalFormatting sqref="K24">
    <cfRule type="expression" dxfId="424" priority="596">
      <formula>AND(OR($H24="Perfectiva",$H24="Somente teste",$H24="Teste + Plano",$H24="Eliminar"),K24&lt;&gt;"")</formula>
    </cfRule>
  </conditionalFormatting>
  <conditionalFormatting sqref="L24">
    <cfRule type="expression" dxfId="423" priority="595">
      <formula>AND(OR($H24="Perfectiva",$H24="Somente teste",$H24="Teste + Plano",$H24="Eliminar"),L24&lt;&gt;"")</formula>
    </cfRule>
  </conditionalFormatting>
  <conditionalFormatting sqref="O24">
    <cfRule type="expression" dxfId="422" priority="594">
      <formula>"E(OU($H7=""Perfectiva"";$H7=""Eliminar"";$H7=""Somente teste"";$H7=""Teste + Plano"");O7&lt;&gt;"""")"</formula>
    </cfRule>
  </conditionalFormatting>
  <conditionalFormatting sqref="P24">
    <cfRule type="expression" dxfId="421" priority="593">
      <formula>"E(OU($H7=""Perfectiva"";$H7=""Eliminar"";$H7=""Somente teste"";$H7=""Teste + Plano"");P7&lt;&gt;"""")"</formula>
    </cfRule>
  </conditionalFormatting>
  <conditionalFormatting sqref="Q24">
    <cfRule type="expression" dxfId="420" priority="592">
      <formula>"E(OU($H7=""Perfectiva"";$H7=""Eliminar"";$H7=""Somente teste"";$H7=""Teste + Plano"");Q7&lt;&gt;"""")"</formula>
    </cfRule>
  </conditionalFormatting>
  <conditionalFormatting sqref="T24">
    <cfRule type="expression" dxfId="419" priority="591">
      <formula>ImpactoMaximo( INDIRECT( "T" &amp; ROW() ) )</formula>
    </cfRule>
  </conditionalFormatting>
  <conditionalFormatting sqref="A40">
    <cfRule type="duplicateValues" dxfId="418" priority="590"/>
  </conditionalFormatting>
  <conditionalFormatting sqref="J40">
    <cfRule type="expression" dxfId="417" priority="587">
      <formula>AND(OR($H40="Perfectiva",$H40="Somente teste",$H40="Teste + Plano",$H40="Eliminar"),J40&lt;&gt;"")</formula>
    </cfRule>
  </conditionalFormatting>
  <conditionalFormatting sqref="K40">
    <cfRule type="expression" dxfId="416" priority="586">
      <formula>AND(OR($H40="Perfectiva",$H40="Somente teste",$H40="Teste + Plano",$H40="Eliminar"),K40&lt;&gt;"")</formula>
    </cfRule>
  </conditionalFormatting>
  <conditionalFormatting sqref="L40">
    <cfRule type="expression" dxfId="415" priority="585">
      <formula>AND(OR($H40="Perfectiva",$H40="Somente teste",$H40="Teste + Plano",$H40="Eliminar"),L40&lt;&gt;"")</formula>
    </cfRule>
  </conditionalFormatting>
  <conditionalFormatting sqref="O40">
    <cfRule type="expression" dxfId="414" priority="584">
      <formula>"E(OU($H7=""Perfectiva"";$H7=""Eliminar"";$H7=""Somente teste"";$H7=""Teste + Plano"");O7&lt;&gt;"""")"</formula>
    </cfRule>
  </conditionalFormatting>
  <conditionalFormatting sqref="P40">
    <cfRule type="expression" dxfId="413" priority="583">
      <formula>"E(OU($H7=""Perfectiva"";$H7=""Eliminar"";$H7=""Somente teste"";$H7=""Teste + Plano"");P7&lt;&gt;"""")"</formula>
    </cfRule>
  </conditionalFormatting>
  <conditionalFormatting sqref="Q40">
    <cfRule type="expression" dxfId="412" priority="582">
      <formula>"E(OU($H7=""Perfectiva"";$H7=""Eliminar"";$H7=""Somente teste"";$H7=""Teste + Plano"");Q7&lt;&gt;"""")"</formula>
    </cfRule>
  </conditionalFormatting>
  <conditionalFormatting sqref="T40">
    <cfRule type="expression" dxfId="411" priority="581">
      <formula>ImpactoMaximo( INDIRECT( "T" &amp; ROW() ) )</formula>
    </cfRule>
  </conditionalFormatting>
  <conditionalFormatting sqref="A39">
    <cfRule type="duplicateValues" dxfId="410" priority="580"/>
  </conditionalFormatting>
  <conditionalFormatting sqref="J39">
    <cfRule type="expression" dxfId="409" priority="577">
      <formula>AND(OR($H39="Perfectiva",$H39="Somente teste",$H39="Teste + Plano",$H39="Eliminar"),J39&lt;&gt;"")</formula>
    </cfRule>
  </conditionalFormatting>
  <conditionalFormatting sqref="K39">
    <cfRule type="expression" dxfId="408" priority="576">
      <formula>AND(OR($H39="Perfectiva",$H39="Somente teste",$H39="Teste + Plano",$H39="Eliminar"),K39&lt;&gt;"")</formula>
    </cfRule>
  </conditionalFormatting>
  <conditionalFormatting sqref="L39">
    <cfRule type="expression" dxfId="407" priority="575">
      <formula>AND(OR($H39="Perfectiva",$H39="Somente teste",$H39="Teste + Plano",$H39="Eliminar"),L39&lt;&gt;"")</formula>
    </cfRule>
  </conditionalFormatting>
  <conditionalFormatting sqref="O39">
    <cfRule type="expression" dxfId="406" priority="574">
      <formula>"E(OU($H7=""Perfectiva"";$H7=""Eliminar"";$H7=""Somente teste"";$H7=""Teste + Plano"");O7&lt;&gt;"""")"</formula>
    </cfRule>
  </conditionalFormatting>
  <conditionalFormatting sqref="P39">
    <cfRule type="expression" dxfId="405" priority="573">
      <formula>"E(OU($H7=""Perfectiva"";$H7=""Eliminar"";$H7=""Somente teste"";$H7=""Teste + Plano"");P7&lt;&gt;"""")"</formula>
    </cfRule>
  </conditionalFormatting>
  <conditionalFormatting sqref="Q39">
    <cfRule type="expression" dxfId="404" priority="572">
      <formula>"E(OU($H7=""Perfectiva"";$H7=""Eliminar"";$H7=""Somente teste"";$H7=""Teste + Plano"");Q7&lt;&gt;"""")"</formula>
    </cfRule>
  </conditionalFormatting>
  <conditionalFormatting sqref="T39">
    <cfRule type="expression" dxfId="403" priority="571">
      <formula>ImpactoMaximo( INDIRECT( "T" &amp; ROW() ) )</formula>
    </cfRule>
  </conditionalFormatting>
  <conditionalFormatting sqref="A38">
    <cfRule type="duplicateValues" dxfId="402" priority="570"/>
  </conditionalFormatting>
  <conditionalFormatting sqref="J38">
    <cfRule type="expression" dxfId="401" priority="567">
      <formula>AND(OR($H38="Perfectiva",$H38="Somente teste",$H38="Teste + Plano",$H38="Eliminar"),J38&lt;&gt;"")</formula>
    </cfRule>
  </conditionalFormatting>
  <conditionalFormatting sqref="K38">
    <cfRule type="expression" dxfId="400" priority="566">
      <formula>AND(OR($H38="Perfectiva",$H38="Somente teste",$H38="Teste + Plano",$H38="Eliminar"),K38&lt;&gt;"")</formula>
    </cfRule>
  </conditionalFormatting>
  <conditionalFormatting sqref="L38">
    <cfRule type="expression" dxfId="399" priority="565">
      <formula>AND(OR($H38="Perfectiva",$H38="Somente teste",$H38="Teste + Plano",$H38="Eliminar"),L38&lt;&gt;"")</formula>
    </cfRule>
  </conditionalFormatting>
  <conditionalFormatting sqref="O38">
    <cfRule type="expression" dxfId="398" priority="564">
      <formula>"E(OU($H7=""Perfectiva"";$H7=""Eliminar"";$H7=""Somente teste"";$H7=""Teste + Plano"");O7&lt;&gt;"""")"</formula>
    </cfRule>
  </conditionalFormatting>
  <conditionalFormatting sqref="P38">
    <cfRule type="expression" dxfId="397" priority="563">
      <formula>"E(OU($H7=""Perfectiva"";$H7=""Eliminar"";$H7=""Somente teste"";$H7=""Teste + Plano"");P7&lt;&gt;"""")"</formula>
    </cfRule>
  </conditionalFormatting>
  <conditionalFormatting sqref="Q38">
    <cfRule type="expression" dxfId="396" priority="562">
      <formula>"E(OU($H7=""Perfectiva"";$H7=""Eliminar"";$H7=""Somente teste"";$H7=""Teste + Plano"");Q7&lt;&gt;"""")"</formula>
    </cfRule>
  </conditionalFormatting>
  <conditionalFormatting sqref="T38">
    <cfRule type="expression" dxfId="395" priority="561">
      <formula>ImpactoMaximo( INDIRECT( "T" &amp; ROW() ) )</formula>
    </cfRule>
  </conditionalFormatting>
  <conditionalFormatting sqref="A37">
    <cfRule type="duplicateValues" dxfId="394" priority="560"/>
  </conditionalFormatting>
  <conditionalFormatting sqref="J37">
    <cfRule type="expression" dxfId="393" priority="557">
      <formula>AND(OR($H37="Perfectiva",$H37="Somente teste",$H37="Teste + Plano",$H37="Eliminar"),J37&lt;&gt;"")</formula>
    </cfRule>
  </conditionalFormatting>
  <conditionalFormatting sqref="K37">
    <cfRule type="expression" dxfId="392" priority="556">
      <formula>AND(OR($H37="Perfectiva",$H37="Somente teste",$H37="Teste + Plano",$H37="Eliminar"),K37&lt;&gt;"")</formula>
    </cfRule>
  </conditionalFormatting>
  <conditionalFormatting sqref="L37">
    <cfRule type="expression" dxfId="391" priority="555">
      <formula>AND(OR($H37="Perfectiva",$H37="Somente teste",$H37="Teste + Plano",$H37="Eliminar"),L37&lt;&gt;"")</formula>
    </cfRule>
  </conditionalFormatting>
  <conditionalFormatting sqref="O37">
    <cfRule type="expression" dxfId="390" priority="554">
      <formula>"E(OU($H7=""Perfectiva"";$H7=""Eliminar"";$H7=""Somente teste"";$H7=""Teste + Plano"");O7&lt;&gt;"""")"</formula>
    </cfRule>
  </conditionalFormatting>
  <conditionalFormatting sqref="P37">
    <cfRule type="expression" dxfId="389" priority="553">
      <formula>"E(OU($H7=""Perfectiva"";$H7=""Eliminar"";$H7=""Somente teste"";$H7=""Teste + Plano"");P7&lt;&gt;"""")"</formula>
    </cfRule>
  </conditionalFormatting>
  <conditionalFormatting sqref="Q37">
    <cfRule type="expression" dxfId="388" priority="552">
      <formula>"E(OU($H7=""Perfectiva"";$H7=""Eliminar"";$H7=""Somente teste"";$H7=""Teste + Plano"");Q7&lt;&gt;"""")"</formula>
    </cfRule>
  </conditionalFormatting>
  <conditionalFormatting sqref="T37">
    <cfRule type="expression" dxfId="387" priority="551">
      <formula>ImpactoMaximo( INDIRECT( "T" &amp; ROW() ) )</formula>
    </cfRule>
  </conditionalFormatting>
  <conditionalFormatting sqref="A36">
    <cfRule type="duplicateValues" dxfId="386" priority="550"/>
  </conditionalFormatting>
  <conditionalFormatting sqref="J36">
    <cfRule type="expression" dxfId="385" priority="547">
      <formula>AND(OR($H36="Perfectiva",$H36="Somente teste",$H36="Teste + Plano",$H36="Eliminar"),J36&lt;&gt;"")</formula>
    </cfRule>
  </conditionalFormatting>
  <conditionalFormatting sqref="K36">
    <cfRule type="expression" dxfId="384" priority="546">
      <formula>AND(OR($H36="Perfectiva",$H36="Somente teste",$H36="Teste + Plano",$H36="Eliminar"),K36&lt;&gt;"")</formula>
    </cfRule>
  </conditionalFormatting>
  <conditionalFormatting sqref="L36">
    <cfRule type="expression" dxfId="383" priority="545">
      <formula>AND(OR($H36="Perfectiva",$H36="Somente teste",$H36="Teste + Plano",$H36="Eliminar"),L36&lt;&gt;"")</formula>
    </cfRule>
  </conditionalFormatting>
  <conditionalFormatting sqref="O36">
    <cfRule type="expression" dxfId="382" priority="544">
      <formula>"E(OU($H7=""Perfectiva"";$H7=""Eliminar"";$H7=""Somente teste"";$H7=""Teste + Plano"");O7&lt;&gt;"""")"</formula>
    </cfRule>
  </conditionalFormatting>
  <conditionalFormatting sqref="P36">
    <cfRule type="expression" dxfId="381" priority="543">
      <formula>"E(OU($H7=""Perfectiva"";$H7=""Eliminar"";$H7=""Somente teste"";$H7=""Teste + Plano"");P7&lt;&gt;"""")"</formula>
    </cfRule>
  </conditionalFormatting>
  <conditionalFormatting sqref="Q36">
    <cfRule type="expression" dxfId="380" priority="542">
      <formula>"E(OU($H7=""Perfectiva"";$H7=""Eliminar"";$H7=""Somente teste"";$H7=""Teste + Plano"");Q7&lt;&gt;"""")"</formula>
    </cfRule>
  </conditionalFormatting>
  <conditionalFormatting sqref="T36">
    <cfRule type="expression" dxfId="379" priority="541">
      <formula>ImpactoMaximo( INDIRECT( "T" &amp; ROW() ) )</formula>
    </cfRule>
  </conditionalFormatting>
  <conditionalFormatting sqref="A35">
    <cfRule type="duplicateValues" dxfId="378" priority="540"/>
  </conditionalFormatting>
  <conditionalFormatting sqref="J35">
    <cfRule type="expression" dxfId="377" priority="537">
      <formula>AND(OR($H35="Perfectiva",$H35="Somente teste",$H35="Teste + Plano",$H35="Eliminar"),J35&lt;&gt;"")</formula>
    </cfRule>
  </conditionalFormatting>
  <conditionalFormatting sqref="K35">
    <cfRule type="expression" dxfId="376" priority="536">
      <formula>AND(OR($H35="Perfectiva",$H35="Somente teste",$H35="Teste + Plano",$H35="Eliminar"),K35&lt;&gt;"")</formula>
    </cfRule>
  </conditionalFormatting>
  <conditionalFormatting sqref="L35">
    <cfRule type="expression" dxfId="375" priority="535">
      <formula>AND(OR($H35="Perfectiva",$H35="Somente teste",$H35="Teste + Plano",$H35="Eliminar"),L35&lt;&gt;"")</formula>
    </cfRule>
  </conditionalFormatting>
  <conditionalFormatting sqref="O35">
    <cfRule type="expression" dxfId="374" priority="534">
      <formula>"E(OU($H7=""Perfectiva"";$H7=""Eliminar"";$H7=""Somente teste"";$H7=""Teste + Plano"");O7&lt;&gt;"""")"</formula>
    </cfRule>
  </conditionalFormatting>
  <conditionalFormatting sqref="P35">
    <cfRule type="expression" dxfId="373" priority="533">
      <formula>"E(OU($H7=""Perfectiva"";$H7=""Eliminar"";$H7=""Somente teste"";$H7=""Teste + Plano"");P7&lt;&gt;"""")"</formula>
    </cfRule>
  </conditionalFormatting>
  <conditionalFormatting sqref="Q35">
    <cfRule type="expression" dxfId="372" priority="532">
      <formula>"E(OU($H7=""Perfectiva"";$H7=""Eliminar"";$H7=""Somente teste"";$H7=""Teste + Plano"");Q7&lt;&gt;"""")"</formula>
    </cfRule>
  </conditionalFormatting>
  <conditionalFormatting sqref="T35">
    <cfRule type="expression" dxfId="371" priority="531">
      <formula>ImpactoMaximo( INDIRECT( "T" &amp; ROW() ) )</formula>
    </cfRule>
  </conditionalFormatting>
  <conditionalFormatting sqref="A34">
    <cfRule type="duplicateValues" dxfId="370" priority="530"/>
  </conditionalFormatting>
  <conditionalFormatting sqref="J34">
    <cfRule type="expression" dxfId="369" priority="527">
      <formula>AND(OR($H34="Perfectiva",$H34="Somente teste",$H34="Teste + Plano",$H34="Eliminar"),J34&lt;&gt;"")</formula>
    </cfRule>
  </conditionalFormatting>
  <conditionalFormatting sqref="K34">
    <cfRule type="expression" dxfId="368" priority="526">
      <formula>AND(OR($H34="Perfectiva",$H34="Somente teste",$H34="Teste + Plano",$H34="Eliminar"),K34&lt;&gt;"")</formula>
    </cfRule>
  </conditionalFormatting>
  <conditionalFormatting sqref="L34">
    <cfRule type="expression" dxfId="367" priority="525">
      <formula>AND(OR($H34="Perfectiva",$H34="Somente teste",$H34="Teste + Plano",$H34="Eliminar"),L34&lt;&gt;"")</formula>
    </cfRule>
  </conditionalFormatting>
  <conditionalFormatting sqref="O34">
    <cfRule type="expression" dxfId="366" priority="524">
      <formula>"E(OU($H7=""Perfectiva"";$H7=""Eliminar"";$H7=""Somente teste"";$H7=""Teste + Plano"");O7&lt;&gt;"""")"</formula>
    </cfRule>
  </conditionalFormatting>
  <conditionalFormatting sqref="P34">
    <cfRule type="expression" dxfId="365" priority="523">
      <formula>"E(OU($H7=""Perfectiva"";$H7=""Eliminar"";$H7=""Somente teste"";$H7=""Teste + Plano"");P7&lt;&gt;"""")"</formula>
    </cfRule>
  </conditionalFormatting>
  <conditionalFormatting sqref="Q34">
    <cfRule type="expression" dxfId="364" priority="522">
      <formula>"E(OU($H7=""Perfectiva"";$H7=""Eliminar"";$H7=""Somente teste"";$H7=""Teste + Plano"");Q7&lt;&gt;"""")"</formula>
    </cfRule>
  </conditionalFormatting>
  <conditionalFormatting sqref="T34">
    <cfRule type="expression" dxfId="363" priority="521">
      <formula>ImpactoMaximo( INDIRECT( "T" &amp; ROW() ) )</formula>
    </cfRule>
  </conditionalFormatting>
  <conditionalFormatting sqref="A33">
    <cfRule type="duplicateValues" dxfId="362" priority="520"/>
  </conditionalFormatting>
  <conditionalFormatting sqref="J33">
    <cfRule type="expression" dxfId="361" priority="517">
      <formula>AND(OR($H33="Perfectiva",$H33="Somente teste",$H33="Teste + Plano",$H33="Eliminar"),J33&lt;&gt;"")</formula>
    </cfRule>
  </conditionalFormatting>
  <conditionalFormatting sqref="K33">
    <cfRule type="expression" dxfId="360" priority="516">
      <formula>AND(OR($H33="Perfectiva",$H33="Somente teste",$H33="Teste + Plano",$H33="Eliminar"),K33&lt;&gt;"")</formula>
    </cfRule>
  </conditionalFormatting>
  <conditionalFormatting sqref="L33">
    <cfRule type="expression" dxfId="359" priority="515">
      <formula>AND(OR($H33="Perfectiva",$H33="Somente teste",$H33="Teste + Plano",$H33="Eliminar"),L33&lt;&gt;"")</formula>
    </cfRule>
  </conditionalFormatting>
  <conditionalFormatting sqref="O33">
    <cfRule type="expression" dxfId="358" priority="514">
      <formula>"E(OU($H7=""Perfectiva"";$H7=""Eliminar"";$H7=""Somente teste"";$H7=""Teste + Plano"");O7&lt;&gt;"""")"</formula>
    </cfRule>
  </conditionalFormatting>
  <conditionalFormatting sqref="P33">
    <cfRule type="expression" dxfId="357" priority="513">
      <formula>"E(OU($H7=""Perfectiva"";$H7=""Eliminar"";$H7=""Somente teste"";$H7=""Teste + Plano"");P7&lt;&gt;"""")"</formula>
    </cfRule>
  </conditionalFormatting>
  <conditionalFormatting sqref="Q33">
    <cfRule type="expression" dxfId="356" priority="512">
      <formula>"E(OU($H7=""Perfectiva"";$H7=""Eliminar"";$H7=""Somente teste"";$H7=""Teste + Plano"");Q7&lt;&gt;"""")"</formula>
    </cfRule>
  </conditionalFormatting>
  <conditionalFormatting sqref="T33">
    <cfRule type="expression" dxfId="355" priority="511">
      <formula>ImpactoMaximo( INDIRECT( "T" &amp; ROW() ) )</formula>
    </cfRule>
  </conditionalFormatting>
  <conditionalFormatting sqref="A32">
    <cfRule type="duplicateValues" dxfId="354" priority="510"/>
  </conditionalFormatting>
  <conditionalFormatting sqref="J32">
    <cfRule type="expression" dxfId="353" priority="507">
      <formula>AND(OR($H32="Perfectiva",$H32="Somente teste",$H32="Teste + Plano",$H32="Eliminar"),J32&lt;&gt;"")</formula>
    </cfRule>
  </conditionalFormatting>
  <conditionalFormatting sqref="K32">
    <cfRule type="expression" dxfId="352" priority="506">
      <formula>AND(OR($H32="Perfectiva",$H32="Somente teste",$H32="Teste + Plano",$H32="Eliminar"),K32&lt;&gt;"")</formula>
    </cfRule>
  </conditionalFormatting>
  <conditionalFormatting sqref="L32">
    <cfRule type="expression" dxfId="351" priority="505">
      <formula>AND(OR($H32="Perfectiva",$H32="Somente teste",$H32="Teste + Plano",$H32="Eliminar"),L32&lt;&gt;"")</formula>
    </cfRule>
  </conditionalFormatting>
  <conditionalFormatting sqref="O32">
    <cfRule type="expression" dxfId="350" priority="504">
      <formula>"E(OU($H7=""Perfectiva"";$H7=""Eliminar"";$H7=""Somente teste"";$H7=""Teste + Plano"");O7&lt;&gt;"""")"</formula>
    </cfRule>
  </conditionalFormatting>
  <conditionalFormatting sqref="P32">
    <cfRule type="expression" dxfId="349" priority="503">
      <formula>"E(OU($H7=""Perfectiva"";$H7=""Eliminar"";$H7=""Somente teste"";$H7=""Teste + Plano"");P7&lt;&gt;"""")"</formula>
    </cfRule>
  </conditionalFormatting>
  <conditionalFormatting sqref="Q32">
    <cfRule type="expression" dxfId="348" priority="502">
      <formula>"E(OU($H7=""Perfectiva"";$H7=""Eliminar"";$H7=""Somente teste"";$H7=""Teste + Plano"");Q7&lt;&gt;"""")"</formula>
    </cfRule>
  </conditionalFormatting>
  <conditionalFormatting sqref="T32">
    <cfRule type="expression" dxfId="347" priority="501">
      <formula>ImpactoMaximo( INDIRECT( "T" &amp; ROW() ) )</formula>
    </cfRule>
  </conditionalFormatting>
  <conditionalFormatting sqref="A31">
    <cfRule type="duplicateValues" dxfId="346" priority="500"/>
  </conditionalFormatting>
  <conditionalFormatting sqref="J31">
    <cfRule type="expression" dxfId="345" priority="497">
      <formula>AND(OR($H31="Perfectiva",$H31="Somente teste",$H31="Teste + Plano",$H31="Eliminar"),J31&lt;&gt;"")</formula>
    </cfRule>
  </conditionalFormatting>
  <conditionalFormatting sqref="K31">
    <cfRule type="expression" dxfId="344" priority="496">
      <formula>AND(OR($H31="Perfectiva",$H31="Somente teste",$H31="Teste + Plano",$H31="Eliminar"),K31&lt;&gt;"")</formula>
    </cfRule>
  </conditionalFormatting>
  <conditionalFormatting sqref="L31">
    <cfRule type="expression" dxfId="343" priority="495">
      <formula>AND(OR($H31="Perfectiva",$H31="Somente teste",$H31="Teste + Plano",$H31="Eliminar"),L31&lt;&gt;"")</formula>
    </cfRule>
  </conditionalFormatting>
  <conditionalFormatting sqref="O31">
    <cfRule type="expression" dxfId="342" priority="494">
      <formula>"E(OU($H7=""Perfectiva"";$H7=""Eliminar"";$H7=""Somente teste"";$H7=""Teste + Plano"");O7&lt;&gt;"""")"</formula>
    </cfRule>
  </conditionalFormatting>
  <conditionalFormatting sqref="P31">
    <cfRule type="expression" dxfId="341" priority="493">
      <formula>"E(OU($H7=""Perfectiva"";$H7=""Eliminar"";$H7=""Somente teste"";$H7=""Teste + Plano"");P7&lt;&gt;"""")"</formula>
    </cfRule>
  </conditionalFormatting>
  <conditionalFormatting sqref="Q31">
    <cfRule type="expression" dxfId="340" priority="492">
      <formula>"E(OU($H7=""Perfectiva"";$H7=""Eliminar"";$H7=""Somente teste"";$H7=""Teste + Plano"");Q7&lt;&gt;"""")"</formula>
    </cfRule>
  </conditionalFormatting>
  <conditionalFormatting sqref="T31">
    <cfRule type="expression" dxfId="339" priority="491">
      <formula>ImpactoMaximo( INDIRECT( "T" &amp; ROW() ) )</formula>
    </cfRule>
  </conditionalFormatting>
  <conditionalFormatting sqref="A55">
    <cfRule type="duplicateValues" dxfId="338" priority="490"/>
  </conditionalFormatting>
  <conditionalFormatting sqref="J55">
    <cfRule type="expression" dxfId="337" priority="487">
      <formula>AND(OR($H55="Perfectiva",$H55="Somente teste",$H55="Teste + Plano",$H55="Eliminar"),J55&lt;&gt;"")</formula>
    </cfRule>
  </conditionalFormatting>
  <conditionalFormatting sqref="K55">
    <cfRule type="expression" dxfId="336" priority="486">
      <formula>AND(OR($H55="Perfectiva",$H55="Somente teste",$H55="Teste + Plano",$H55="Eliminar"),K55&lt;&gt;"")</formula>
    </cfRule>
  </conditionalFormatting>
  <conditionalFormatting sqref="L55">
    <cfRule type="expression" dxfId="335" priority="485">
      <formula>AND(OR($H55="Perfectiva",$H55="Somente teste",$H55="Teste + Plano",$H55="Eliminar"),L55&lt;&gt;"")</formula>
    </cfRule>
  </conditionalFormatting>
  <conditionalFormatting sqref="O55">
    <cfRule type="expression" dxfId="334" priority="484">
      <formula>"E(OU($H7=""Perfectiva"";$H7=""Eliminar"";$H7=""Somente teste"";$H7=""Teste + Plano"");O7&lt;&gt;"""")"</formula>
    </cfRule>
  </conditionalFormatting>
  <conditionalFormatting sqref="P55">
    <cfRule type="expression" dxfId="333" priority="483">
      <formula>"E(OU($H7=""Perfectiva"";$H7=""Eliminar"";$H7=""Somente teste"";$H7=""Teste + Plano"");P7&lt;&gt;"""")"</formula>
    </cfRule>
  </conditionalFormatting>
  <conditionalFormatting sqref="Q55">
    <cfRule type="expression" dxfId="332" priority="482">
      <formula>"E(OU($H7=""Perfectiva"";$H7=""Eliminar"";$H7=""Somente teste"";$H7=""Teste + Plano"");Q7&lt;&gt;"""")"</formula>
    </cfRule>
  </conditionalFormatting>
  <conditionalFormatting sqref="T55">
    <cfRule type="expression" dxfId="331" priority="481">
      <formula>ImpactoMaximo( INDIRECT( "T" &amp; ROW() ) )</formula>
    </cfRule>
  </conditionalFormatting>
  <conditionalFormatting sqref="A64">
    <cfRule type="duplicateValues" dxfId="330" priority="480"/>
  </conditionalFormatting>
  <conditionalFormatting sqref="J64">
    <cfRule type="expression" dxfId="329" priority="477">
      <formula>AND(OR($H64="Perfectiva",$H64="Somente teste",$H64="Teste + Plano",$H64="Eliminar"),J64&lt;&gt;"")</formula>
    </cfRule>
  </conditionalFormatting>
  <conditionalFormatting sqref="K64">
    <cfRule type="expression" dxfId="328" priority="476">
      <formula>AND(OR($H64="Perfectiva",$H64="Somente teste",$H64="Teste + Plano",$H64="Eliminar"),K64&lt;&gt;"")</formula>
    </cfRule>
  </conditionalFormatting>
  <conditionalFormatting sqref="L64">
    <cfRule type="expression" dxfId="327" priority="475">
      <formula>AND(OR($H64="Perfectiva",$H64="Somente teste",$H64="Teste + Plano",$H64="Eliminar"),L64&lt;&gt;"")</formula>
    </cfRule>
  </conditionalFormatting>
  <conditionalFormatting sqref="O64">
    <cfRule type="expression" dxfId="326" priority="474">
      <formula>"E(OU($H7=""Perfectiva"";$H7=""Eliminar"";$H7=""Somente teste"";$H7=""Teste + Plano"");O7&lt;&gt;"""")"</formula>
    </cfRule>
  </conditionalFormatting>
  <conditionalFormatting sqref="P64">
    <cfRule type="expression" dxfId="325" priority="473">
      <formula>"E(OU($H7=""Perfectiva"";$H7=""Eliminar"";$H7=""Somente teste"";$H7=""Teste + Plano"");P7&lt;&gt;"""")"</formula>
    </cfRule>
  </conditionalFormatting>
  <conditionalFormatting sqref="Q64">
    <cfRule type="expression" dxfId="324" priority="472">
      <formula>"E(OU($H7=""Perfectiva"";$H7=""Eliminar"";$H7=""Somente teste"";$H7=""Teste + Plano"");Q7&lt;&gt;"""")"</formula>
    </cfRule>
  </conditionalFormatting>
  <conditionalFormatting sqref="T64">
    <cfRule type="expression" dxfId="323" priority="471">
      <formula>ImpactoMaximo( INDIRECT( "T" &amp; ROW() ) )</formula>
    </cfRule>
  </conditionalFormatting>
  <conditionalFormatting sqref="A63">
    <cfRule type="duplicateValues" dxfId="322" priority="470"/>
  </conditionalFormatting>
  <conditionalFormatting sqref="J63">
    <cfRule type="expression" dxfId="321" priority="467">
      <formula>AND(OR($H63="Perfectiva",$H63="Somente teste",$H63="Teste + Plano",$H63="Eliminar"),J63&lt;&gt;"")</formula>
    </cfRule>
  </conditionalFormatting>
  <conditionalFormatting sqref="K63">
    <cfRule type="expression" dxfId="320" priority="466">
      <formula>AND(OR($H63="Perfectiva",$H63="Somente teste",$H63="Teste + Plano",$H63="Eliminar"),K63&lt;&gt;"")</formula>
    </cfRule>
  </conditionalFormatting>
  <conditionalFormatting sqref="L63">
    <cfRule type="expression" dxfId="319" priority="465">
      <formula>AND(OR($H63="Perfectiva",$H63="Somente teste",$H63="Teste + Plano",$H63="Eliminar"),L63&lt;&gt;"")</formula>
    </cfRule>
  </conditionalFormatting>
  <conditionalFormatting sqref="O63">
    <cfRule type="expression" dxfId="318" priority="464">
      <formula>"E(OU($H7=""Perfectiva"";$H7=""Eliminar"";$H7=""Somente teste"";$H7=""Teste + Plano"");O7&lt;&gt;"""")"</formula>
    </cfRule>
  </conditionalFormatting>
  <conditionalFormatting sqref="P63">
    <cfRule type="expression" dxfId="317" priority="463">
      <formula>"E(OU($H7=""Perfectiva"";$H7=""Eliminar"";$H7=""Somente teste"";$H7=""Teste + Plano"");P7&lt;&gt;"""")"</formula>
    </cfRule>
  </conditionalFormatting>
  <conditionalFormatting sqref="Q63">
    <cfRule type="expression" dxfId="316" priority="462">
      <formula>"E(OU($H7=""Perfectiva"";$H7=""Eliminar"";$H7=""Somente teste"";$H7=""Teste + Plano"");Q7&lt;&gt;"""")"</formula>
    </cfRule>
  </conditionalFormatting>
  <conditionalFormatting sqref="T63">
    <cfRule type="expression" dxfId="315" priority="461">
      <formula>ImpactoMaximo( INDIRECT( "T" &amp; ROW() ) )</formula>
    </cfRule>
  </conditionalFormatting>
  <conditionalFormatting sqref="A62">
    <cfRule type="duplicateValues" dxfId="314" priority="460"/>
  </conditionalFormatting>
  <conditionalFormatting sqref="J62">
    <cfRule type="expression" dxfId="313" priority="457">
      <formula>AND(OR($H62="Perfectiva",$H62="Somente teste",$H62="Teste + Plano",$H62="Eliminar"),J62&lt;&gt;"")</formula>
    </cfRule>
  </conditionalFormatting>
  <conditionalFormatting sqref="K62">
    <cfRule type="expression" dxfId="312" priority="456">
      <formula>AND(OR($H62="Perfectiva",$H62="Somente teste",$H62="Teste + Plano",$H62="Eliminar"),K62&lt;&gt;"")</formula>
    </cfRule>
  </conditionalFormatting>
  <conditionalFormatting sqref="L62">
    <cfRule type="expression" dxfId="311" priority="455">
      <formula>AND(OR($H62="Perfectiva",$H62="Somente teste",$H62="Teste + Plano",$H62="Eliminar"),L62&lt;&gt;"")</formula>
    </cfRule>
  </conditionalFormatting>
  <conditionalFormatting sqref="O62">
    <cfRule type="expression" dxfId="310" priority="454">
      <formula>"E(OU($H7=""Perfectiva"";$H7=""Eliminar"";$H7=""Somente teste"";$H7=""Teste + Plano"");O7&lt;&gt;"""")"</formula>
    </cfRule>
  </conditionalFormatting>
  <conditionalFormatting sqref="P62">
    <cfRule type="expression" dxfId="309" priority="453">
      <formula>"E(OU($H7=""Perfectiva"";$H7=""Eliminar"";$H7=""Somente teste"";$H7=""Teste + Plano"");P7&lt;&gt;"""")"</formula>
    </cfRule>
  </conditionalFormatting>
  <conditionalFormatting sqref="Q62">
    <cfRule type="expression" dxfId="308" priority="452">
      <formula>"E(OU($H7=""Perfectiva"";$H7=""Eliminar"";$H7=""Somente teste"";$H7=""Teste + Plano"");Q7&lt;&gt;"""")"</formula>
    </cfRule>
  </conditionalFormatting>
  <conditionalFormatting sqref="T62">
    <cfRule type="expression" dxfId="307" priority="451">
      <formula>ImpactoMaximo( INDIRECT( "T" &amp; ROW() ) )</formula>
    </cfRule>
  </conditionalFormatting>
  <conditionalFormatting sqref="A61">
    <cfRule type="duplicateValues" dxfId="306" priority="450"/>
  </conditionalFormatting>
  <conditionalFormatting sqref="J61">
    <cfRule type="expression" dxfId="305" priority="447">
      <formula>AND(OR($H61="Perfectiva",$H61="Somente teste",$H61="Teste + Plano",$H61="Eliminar"),J61&lt;&gt;"")</formula>
    </cfRule>
  </conditionalFormatting>
  <conditionalFormatting sqref="K61">
    <cfRule type="expression" dxfId="304" priority="446">
      <formula>AND(OR($H61="Perfectiva",$H61="Somente teste",$H61="Teste + Plano",$H61="Eliminar"),K61&lt;&gt;"")</formula>
    </cfRule>
  </conditionalFormatting>
  <conditionalFormatting sqref="L61">
    <cfRule type="expression" dxfId="303" priority="445">
      <formula>AND(OR($H61="Perfectiva",$H61="Somente teste",$H61="Teste + Plano",$H61="Eliminar"),L61&lt;&gt;"")</formula>
    </cfRule>
  </conditionalFormatting>
  <conditionalFormatting sqref="O61">
    <cfRule type="expression" dxfId="302" priority="444">
      <formula>"E(OU($H7=""Perfectiva"";$H7=""Eliminar"";$H7=""Somente teste"";$H7=""Teste + Plano"");O7&lt;&gt;"""")"</formula>
    </cfRule>
  </conditionalFormatting>
  <conditionalFormatting sqref="P61">
    <cfRule type="expression" dxfId="301" priority="443">
      <formula>"E(OU($H7=""Perfectiva"";$H7=""Eliminar"";$H7=""Somente teste"";$H7=""Teste + Plano"");P7&lt;&gt;"""")"</formula>
    </cfRule>
  </conditionalFormatting>
  <conditionalFormatting sqref="Q61">
    <cfRule type="expression" dxfId="300" priority="442">
      <formula>"E(OU($H7=""Perfectiva"";$H7=""Eliminar"";$H7=""Somente teste"";$H7=""Teste + Plano"");Q7&lt;&gt;"""")"</formula>
    </cfRule>
  </conditionalFormatting>
  <conditionalFormatting sqref="T61">
    <cfRule type="expression" dxfId="299" priority="441">
      <formula>ImpactoMaximo( INDIRECT( "T" &amp; ROW() ) )</formula>
    </cfRule>
  </conditionalFormatting>
  <conditionalFormatting sqref="A60">
    <cfRule type="duplicateValues" dxfId="298" priority="440"/>
  </conditionalFormatting>
  <conditionalFormatting sqref="J60">
    <cfRule type="expression" dxfId="297" priority="437">
      <formula>AND(OR($H60="Perfectiva",$H60="Somente teste",$H60="Teste + Plano",$H60="Eliminar"),J60&lt;&gt;"")</formula>
    </cfRule>
  </conditionalFormatting>
  <conditionalFormatting sqref="K60">
    <cfRule type="expression" dxfId="296" priority="436">
      <formula>AND(OR($H60="Perfectiva",$H60="Somente teste",$H60="Teste + Plano",$H60="Eliminar"),K60&lt;&gt;"")</formula>
    </cfRule>
  </conditionalFormatting>
  <conditionalFormatting sqref="L60">
    <cfRule type="expression" dxfId="295" priority="435">
      <formula>AND(OR($H60="Perfectiva",$H60="Somente teste",$H60="Teste + Plano",$H60="Eliminar"),L60&lt;&gt;"")</formula>
    </cfRule>
  </conditionalFormatting>
  <conditionalFormatting sqref="O60">
    <cfRule type="expression" dxfId="294" priority="434">
      <formula>"E(OU($H7=""Perfectiva"";$H7=""Eliminar"";$H7=""Somente teste"";$H7=""Teste + Plano"");O7&lt;&gt;"""")"</formula>
    </cfRule>
  </conditionalFormatting>
  <conditionalFormatting sqref="P60">
    <cfRule type="expression" dxfId="293" priority="433">
      <formula>"E(OU($H7=""Perfectiva"";$H7=""Eliminar"";$H7=""Somente teste"";$H7=""Teste + Plano"");P7&lt;&gt;"""")"</formula>
    </cfRule>
  </conditionalFormatting>
  <conditionalFormatting sqref="Q60">
    <cfRule type="expression" dxfId="292" priority="432">
      <formula>"E(OU($H7=""Perfectiva"";$H7=""Eliminar"";$H7=""Somente teste"";$H7=""Teste + Plano"");Q7&lt;&gt;"""")"</formula>
    </cfRule>
  </conditionalFormatting>
  <conditionalFormatting sqref="T60">
    <cfRule type="expression" dxfId="291" priority="431">
      <formula>ImpactoMaximo( INDIRECT( "T" &amp; ROW() ) )</formula>
    </cfRule>
  </conditionalFormatting>
  <conditionalFormatting sqref="A59">
    <cfRule type="duplicateValues" dxfId="290" priority="430"/>
  </conditionalFormatting>
  <conditionalFormatting sqref="J59">
    <cfRule type="expression" dxfId="289" priority="427">
      <formula>AND(OR($H59="Perfectiva",$H59="Somente teste",$H59="Teste + Plano",$H59="Eliminar"),J59&lt;&gt;"")</formula>
    </cfRule>
  </conditionalFormatting>
  <conditionalFormatting sqref="K59">
    <cfRule type="expression" dxfId="288" priority="426">
      <formula>AND(OR($H59="Perfectiva",$H59="Somente teste",$H59="Teste + Plano",$H59="Eliminar"),K59&lt;&gt;"")</formula>
    </cfRule>
  </conditionalFormatting>
  <conditionalFormatting sqref="L59">
    <cfRule type="expression" dxfId="287" priority="425">
      <formula>AND(OR($H59="Perfectiva",$H59="Somente teste",$H59="Teste + Plano",$H59="Eliminar"),L59&lt;&gt;"")</formula>
    </cfRule>
  </conditionalFormatting>
  <conditionalFormatting sqref="O59">
    <cfRule type="expression" dxfId="286" priority="424">
      <formula>"E(OU($H7=""Perfectiva"";$H7=""Eliminar"";$H7=""Somente teste"";$H7=""Teste + Plano"");O7&lt;&gt;"""")"</formula>
    </cfRule>
  </conditionalFormatting>
  <conditionalFormatting sqref="P59">
    <cfRule type="expression" dxfId="285" priority="423">
      <formula>"E(OU($H7=""Perfectiva"";$H7=""Eliminar"";$H7=""Somente teste"";$H7=""Teste + Plano"");P7&lt;&gt;"""")"</formula>
    </cfRule>
  </conditionalFormatting>
  <conditionalFormatting sqref="Q59">
    <cfRule type="expression" dxfId="284" priority="422">
      <formula>"E(OU($H7=""Perfectiva"";$H7=""Eliminar"";$H7=""Somente teste"";$H7=""Teste + Plano"");Q7&lt;&gt;"""")"</formula>
    </cfRule>
  </conditionalFormatting>
  <conditionalFormatting sqref="T59">
    <cfRule type="expression" dxfId="283" priority="421">
      <formula>ImpactoMaximo( INDIRECT( "T" &amp; ROW() ) )</formula>
    </cfRule>
  </conditionalFormatting>
  <conditionalFormatting sqref="A58">
    <cfRule type="duplicateValues" dxfId="282" priority="420"/>
  </conditionalFormatting>
  <conditionalFormatting sqref="J58">
    <cfRule type="expression" dxfId="281" priority="417">
      <formula>AND(OR($H58="Perfectiva",$H58="Somente teste",$H58="Teste + Plano",$H58="Eliminar"),J58&lt;&gt;"")</formula>
    </cfRule>
  </conditionalFormatting>
  <conditionalFormatting sqref="K58">
    <cfRule type="expression" dxfId="280" priority="416">
      <formula>AND(OR($H58="Perfectiva",$H58="Somente teste",$H58="Teste + Plano",$H58="Eliminar"),K58&lt;&gt;"")</formula>
    </cfRule>
  </conditionalFormatting>
  <conditionalFormatting sqref="L58">
    <cfRule type="expression" dxfId="279" priority="415">
      <formula>AND(OR($H58="Perfectiva",$H58="Somente teste",$H58="Teste + Plano",$H58="Eliminar"),L58&lt;&gt;"")</formula>
    </cfRule>
  </conditionalFormatting>
  <conditionalFormatting sqref="O58">
    <cfRule type="expression" dxfId="278" priority="414">
      <formula>"E(OU($H7=""Perfectiva"";$H7=""Eliminar"";$H7=""Somente teste"";$H7=""Teste + Plano"");O7&lt;&gt;"""")"</formula>
    </cfRule>
  </conditionalFormatting>
  <conditionalFormatting sqref="P58">
    <cfRule type="expression" dxfId="277" priority="413">
      <formula>"E(OU($H7=""Perfectiva"";$H7=""Eliminar"";$H7=""Somente teste"";$H7=""Teste + Plano"");P7&lt;&gt;"""")"</formula>
    </cfRule>
  </conditionalFormatting>
  <conditionalFormatting sqref="Q58">
    <cfRule type="expression" dxfId="276" priority="412">
      <formula>"E(OU($H7=""Perfectiva"";$H7=""Eliminar"";$H7=""Somente teste"";$H7=""Teste + Plano"");Q7&lt;&gt;"""")"</formula>
    </cfRule>
  </conditionalFormatting>
  <conditionalFormatting sqref="T58">
    <cfRule type="expression" dxfId="275" priority="411">
      <formula>ImpactoMaximo( INDIRECT( "T" &amp; ROW() ) )</formula>
    </cfRule>
  </conditionalFormatting>
  <conditionalFormatting sqref="A57">
    <cfRule type="duplicateValues" dxfId="274" priority="410"/>
  </conditionalFormatting>
  <conditionalFormatting sqref="J57">
    <cfRule type="expression" dxfId="273" priority="407">
      <formula>AND(OR($H57="Perfectiva",$H57="Somente teste",$H57="Teste + Plano",$H57="Eliminar"),J57&lt;&gt;"")</formula>
    </cfRule>
  </conditionalFormatting>
  <conditionalFormatting sqref="K57">
    <cfRule type="expression" dxfId="272" priority="406">
      <formula>AND(OR($H57="Perfectiva",$H57="Somente teste",$H57="Teste + Plano",$H57="Eliminar"),K57&lt;&gt;"")</formula>
    </cfRule>
  </conditionalFormatting>
  <conditionalFormatting sqref="L57">
    <cfRule type="expression" dxfId="271" priority="405">
      <formula>AND(OR($H57="Perfectiva",$H57="Somente teste",$H57="Teste + Plano",$H57="Eliminar"),L57&lt;&gt;"")</formula>
    </cfRule>
  </conditionalFormatting>
  <conditionalFormatting sqref="O57">
    <cfRule type="expression" dxfId="270" priority="404">
      <formula>"E(OU($H7=""Perfectiva"";$H7=""Eliminar"";$H7=""Somente teste"";$H7=""Teste + Plano"");O7&lt;&gt;"""")"</formula>
    </cfRule>
  </conditionalFormatting>
  <conditionalFormatting sqref="P57">
    <cfRule type="expression" dxfId="269" priority="403">
      <formula>"E(OU($H7=""Perfectiva"";$H7=""Eliminar"";$H7=""Somente teste"";$H7=""Teste + Plano"");P7&lt;&gt;"""")"</formula>
    </cfRule>
  </conditionalFormatting>
  <conditionalFormatting sqref="Q57">
    <cfRule type="expression" dxfId="268" priority="402">
      <formula>"E(OU($H7=""Perfectiva"";$H7=""Eliminar"";$H7=""Somente teste"";$H7=""Teste + Plano"");Q7&lt;&gt;"""")"</formula>
    </cfRule>
  </conditionalFormatting>
  <conditionalFormatting sqref="T57">
    <cfRule type="expression" dxfId="267" priority="401">
      <formula>ImpactoMaximo( INDIRECT( "T" &amp; ROW() ) )</formula>
    </cfRule>
  </conditionalFormatting>
  <conditionalFormatting sqref="A56">
    <cfRule type="duplicateValues" dxfId="266" priority="400"/>
  </conditionalFormatting>
  <conditionalFormatting sqref="J56">
    <cfRule type="expression" dxfId="265" priority="397">
      <formula>AND(OR($H56="Perfectiva",$H56="Somente teste",$H56="Teste + Plano",$H56="Eliminar"),J56&lt;&gt;"")</formula>
    </cfRule>
  </conditionalFormatting>
  <conditionalFormatting sqref="K56">
    <cfRule type="expression" dxfId="264" priority="396">
      <formula>AND(OR($H56="Perfectiva",$H56="Somente teste",$H56="Teste + Plano",$H56="Eliminar"),K56&lt;&gt;"")</formula>
    </cfRule>
  </conditionalFormatting>
  <conditionalFormatting sqref="L56">
    <cfRule type="expression" dxfId="263" priority="395">
      <formula>AND(OR($H56="Perfectiva",$H56="Somente teste",$H56="Teste + Plano",$H56="Eliminar"),L56&lt;&gt;"")</formula>
    </cfRule>
  </conditionalFormatting>
  <conditionalFormatting sqref="O56">
    <cfRule type="expression" dxfId="262" priority="394">
      <formula>"E(OU($H7=""Perfectiva"";$H7=""Eliminar"";$H7=""Somente teste"";$H7=""Teste + Plano"");O7&lt;&gt;"""")"</formula>
    </cfRule>
  </conditionalFormatting>
  <conditionalFormatting sqref="P56">
    <cfRule type="expression" dxfId="261" priority="393">
      <formula>"E(OU($H7=""Perfectiva"";$H7=""Eliminar"";$H7=""Somente teste"";$H7=""Teste + Plano"");P7&lt;&gt;"""")"</formula>
    </cfRule>
  </conditionalFormatting>
  <conditionalFormatting sqref="Q56">
    <cfRule type="expression" dxfId="260" priority="392">
      <formula>"E(OU($H7=""Perfectiva"";$H7=""Eliminar"";$H7=""Somente teste"";$H7=""Teste + Plano"");Q7&lt;&gt;"""")"</formula>
    </cfRule>
  </conditionalFormatting>
  <conditionalFormatting sqref="T56">
    <cfRule type="expression" dxfId="259" priority="391">
      <formula>ImpactoMaximo( INDIRECT( "T" &amp; ROW() ) )</formula>
    </cfRule>
  </conditionalFormatting>
  <conditionalFormatting sqref="A69">
    <cfRule type="duplicateValues" dxfId="258" priority="390"/>
  </conditionalFormatting>
  <conditionalFormatting sqref="J69">
    <cfRule type="expression" dxfId="257" priority="387">
      <formula>AND(OR($H69="Perfectiva",$H69="Somente teste",$H69="Teste + Plano",$H69="Eliminar"),J69&lt;&gt;"")</formula>
    </cfRule>
  </conditionalFormatting>
  <conditionalFormatting sqref="K69">
    <cfRule type="expression" dxfId="256" priority="386">
      <formula>AND(OR($H69="Perfectiva",$H69="Somente teste",$H69="Teste + Plano",$H69="Eliminar"),K69&lt;&gt;"")</formula>
    </cfRule>
  </conditionalFormatting>
  <conditionalFormatting sqref="L69">
    <cfRule type="expression" dxfId="255" priority="385">
      <formula>AND(OR($H69="Perfectiva",$H69="Somente teste",$H69="Teste + Plano",$H69="Eliminar"),L69&lt;&gt;"")</formula>
    </cfRule>
  </conditionalFormatting>
  <conditionalFormatting sqref="O69">
    <cfRule type="expression" dxfId="254" priority="384">
      <formula>"E(OU($H7=""Perfectiva"";$H7=""Eliminar"";$H7=""Somente teste"";$H7=""Teste + Plano"");O7&lt;&gt;"""")"</formula>
    </cfRule>
  </conditionalFormatting>
  <conditionalFormatting sqref="P69">
    <cfRule type="expression" dxfId="253" priority="383">
      <formula>"E(OU($H7=""Perfectiva"";$H7=""Eliminar"";$H7=""Somente teste"";$H7=""Teste + Plano"");P7&lt;&gt;"""")"</formula>
    </cfRule>
  </conditionalFormatting>
  <conditionalFormatting sqref="Q69">
    <cfRule type="expression" dxfId="252" priority="382">
      <formula>"E(OU($H7=""Perfectiva"";$H7=""Eliminar"";$H7=""Somente teste"";$H7=""Teste + Plano"");Q7&lt;&gt;"""")"</formula>
    </cfRule>
  </conditionalFormatting>
  <conditionalFormatting sqref="T69">
    <cfRule type="expression" dxfId="251" priority="381">
      <formula>ImpactoMaximo( INDIRECT( "T" &amp; ROW() ) )</formula>
    </cfRule>
  </conditionalFormatting>
  <conditionalFormatting sqref="A68">
    <cfRule type="duplicateValues" dxfId="250" priority="380"/>
  </conditionalFormatting>
  <conditionalFormatting sqref="J68">
    <cfRule type="expression" dxfId="249" priority="377">
      <formula>AND(OR($H68="Perfectiva",$H68="Somente teste",$H68="Teste + Plano",$H68="Eliminar"),J68&lt;&gt;"")</formula>
    </cfRule>
  </conditionalFormatting>
  <conditionalFormatting sqref="K68">
    <cfRule type="expression" dxfId="248" priority="376">
      <formula>AND(OR($H68="Perfectiva",$H68="Somente teste",$H68="Teste + Plano",$H68="Eliminar"),K68&lt;&gt;"")</formula>
    </cfRule>
  </conditionalFormatting>
  <conditionalFormatting sqref="L68">
    <cfRule type="expression" dxfId="247" priority="375">
      <formula>AND(OR($H68="Perfectiva",$H68="Somente teste",$H68="Teste + Plano",$H68="Eliminar"),L68&lt;&gt;"")</formula>
    </cfRule>
  </conditionalFormatting>
  <conditionalFormatting sqref="O68">
    <cfRule type="expression" dxfId="246" priority="374">
      <formula>"E(OU($H7=""Perfectiva"";$H7=""Eliminar"";$H7=""Somente teste"";$H7=""Teste + Plano"");O7&lt;&gt;"""")"</formula>
    </cfRule>
  </conditionalFormatting>
  <conditionalFormatting sqref="P68">
    <cfRule type="expression" dxfId="245" priority="373">
      <formula>"E(OU($H7=""Perfectiva"";$H7=""Eliminar"";$H7=""Somente teste"";$H7=""Teste + Plano"");P7&lt;&gt;"""")"</formula>
    </cfRule>
  </conditionalFormatting>
  <conditionalFormatting sqref="Q68">
    <cfRule type="expression" dxfId="244" priority="372">
      <formula>"E(OU($H7=""Perfectiva"";$H7=""Eliminar"";$H7=""Somente teste"";$H7=""Teste + Plano"");Q7&lt;&gt;"""")"</formula>
    </cfRule>
  </conditionalFormatting>
  <conditionalFormatting sqref="T68">
    <cfRule type="expression" dxfId="243" priority="371">
      <formula>ImpactoMaximo( INDIRECT( "T" &amp; ROW() ) )</formula>
    </cfRule>
  </conditionalFormatting>
  <conditionalFormatting sqref="A67">
    <cfRule type="duplicateValues" dxfId="242" priority="370"/>
  </conditionalFormatting>
  <conditionalFormatting sqref="J67">
    <cfRule type="expression" dxfId="241" priority="367">
      <formula>AND(OR($H67="Perfectiva",$H67="Somente teste",$H67="Teste + Plano",$H67="Eliminar"),J67&lt;&gt;"")</formula>
    </cfRule>
  </conditionalFormatting>
  <conditionalFormatting sqref="K67">
    <cfRule type="expression" dxfId="240" priority="366">
      <formula>AND(OR($H67="Perfectiva",$H67="Somente teste",$H67="Teste + Plano",$H67="Eliminar"),K67&lt;&gt;"")</formula>
    </cfRule>
  </conditionalFormatting>
  <conditionalFormatting sqref="L67">
    <cfRule type="expression" dxfId="239" priority="365">
      <formula>AND(OR($H67="Perfectiva",$H67="Somente teste",$H67="Teste + Plano",$H67="Eliminar"),L67&lt;&gt;"")</formula>
    </cfRule>
  </conditionalFormatting>
  <conditionalFormatting sqref="O67">
    <cfRule type="expression" dxfId="238" priority="364">
      <formula>"E(OU($H7=""Perfectiva"";$H7=""Eliminar"";$H7=""Somente teste"";$H7=""Teste + Plano"");O7&lt;&gt;"""")"</formula>
    </cfRule>
  </conditionalFormatting>
  <conditionalFormatting sqref="P67">
    <cfRule type="expression" dxfId="237" priority="363">
      <formula>"E(OU($H7=""Perfectiva"";$H7=""Eliminar"";$H7=""Somente teste"";$H7=""Teste + Plano"");P7&lt;&gt;"""")"</formula>
    </cfRule>
  </conditionalFormatting>
  <conditionalFormatting sqref="Q67">
    <cfRule type="expression" dxfId="236" priority="362">
      <formula>"E(OU($H7=""Perfectiva"";$H7=""Eliminar"";$H7=""Somente teste"";$H7=""Teste + Plano"");Q7&lt;&gt;"""")"</formula>
    </cfRule>
  </conditionalFormatting>
  <conditionalFormatting sqref="T67">
    <cfRule type="expression" dxfId="235" priority="361">
      <formula>ImpactoMaximo( INDIRECT( "T" &amp; ROW() ) )</formula>
    </cfRule>
  </conditionalFormatting>
  <conditionalFormatting sqref="A66">
    <cfRule type="duplicateValues" dxfId="234" priority="360"/>
  </conditionalFormatting>
  <conditionalFormatting sqref="J66">
    <cfRule type="expression" dxfId="233" priority="357">
      <formula>AND(OR($H66="Perfectiva",$H66="Somente teste",$H66="Teste + Plano",$H66="Eliminar"),J66&lt;&gt;"")</formula>
    </cfRule>
  </conditionalFormatting>
  <conditionalFormatting sqref="K66">
    <cfRule type="expression" dxfId="232" priority="356">
      <formula>AND(OR($H66="Perfectiva",$H66="Somente teste",$H66="Teste + Plano",$H66="Eliminar"),K66&lt;&gt;"")</formula>
    </cfRule>
  </conditionalFormatting>
  <conditionalFormatting sqref="L66">
    <cfRule type="expression" dxfId="231" priority="355">
      <formula>AND(OR($H66="Perfectiva",$H66="Somente teste",$H66="Teste + Plano",$H66="Eliminar"),L66&lt;&gt;"")</formula>
    </cfRule>
  </conditionalFormatting>
  <conditionalFormatting sqref="O66">
    <cfRule type="expression" dxfId="230" priority="354">
      <formula>"E(OU($H7=""Perfectiva"";$H7=""Eliminar"";$H7=""Somente teste"";$H7=""Teste + Plano"");O7&lt;&gt;"""")"</formula>
    </cfRule>
  </conditionalFormatting>
  <conditionalFormatting sqref="P66">
    <cfRule type="expression" dxfId="229" priority="353">
      <formula>"E(OU($H7=""Perfectiva"";$H7=""Eliminar"";$H7=""Somente teste"";$H7=""Teste + Plano"");P7&lt;&gt;"""")"</formula>
    </cfRule>
  </conditionalFormatting>
  <conditionalFormatting sqref="Q66">
    <cfRule type="expression" dxfId="228" priority="352">
      <formula>"E(OU($H7=""Perfectiva"";$H7=""Eliminar"";$H7=""Somente teste"";$H7=""Teste + Plano"");Q7&lt;&gt;"""")"</formula>
    </cfRule>
  </conditionalFormatting>
  <conditionalFormatting sqref="T66">
    <cfRule type="expression" dxfId="227" priority="351">
      <formula>ImpactoMaximo( INDIRECT( "T" &amp; ROW() ) )</formula>
    </cfRule>
  </conditionalFormatting>
  <conditionalFormatting sqref="A65">
    <cfRule type="duplicateValues" dxfId="226" priority="350"/>
  </conditionalFormatting>
  <conditionalFormatting sqref="J65">
    <cfRule type="expression" dxfId="225" priority="347">
      <formula>AND(OR($H65="Perfectiva",$H65="Somente teste",$H65="Teste + Plano",$H65="Eliminar"),J65&lt;&gt;"")</formula>
    </cfRule>
  </conditionalFormatting>
  <conditionalFormatting sqref="K65">
    <cfRule type="expression" dxfId="224" priority="346">
      <formula>AND(OR($H65="Perfectiva",$H65="Somente teste",$H65="Teste + Plano",$H65="Eliminar"),K65&lt;&gt;"")</formula>
    </cfRule>
  </conditionalFormatting>
  <conditionalFormatting sqref="L65">
    <cfRule type="expression" dxfId="223" priority="345">
      <formula>AND(OR($H65="Perfectiva",$H65="Somente teste",$H65="Teste + Plano",$H65="Eliminar"),L65&lt;&gt;"")</formula>
    </cfRule>
  </conditionalFormatting>
  <conditionalFormatting sqref="O65">
    <cfRule type="expression" dxfId="222" priority="344">
      <formula>"E(OU($H7=""Perfectiva"";$H7=""Eliminar"";$H7=""Somente teste"";$H7=""Teste + Plano"");O7&lt;&gt;"""")"</formula>
    </cfRule>
  </conditionalFormatting>
  <conditionalFormatting sqref="P65">
    <cfRule type="expression" dxfId="221" priority="343">
      <formula>"E(OU($H7=""Perfectiva"";$H7=""Eliminar"";$H7=""Somente teste"";$H7=""Teste + Plano"");P7&lt;&gt;"""")"</formula>
    </cfRule>
  </conditionalFormatting>
  <conditionalFormatting sqref="Q65">
    <cfRule type="expression" dxfId="220" priority="342">
      <formula>"E(OU($H7=""Perfectiva"";$H7=""Eliminar"";$H7=""Somente teste"";$H7=""Teste + Plano"");Q7&lt;&gt;"""")"</formula>
    </cfRule>
  </conditionalFormatting>
  <conditionalFormatting sqref="T65">
    <cfRule type="expression" dxfId="219" priority="341">
      <formula>ImpactoMaximo( INDIRECT( "T" &amp; ROW() ) )</formula>
    </cfRule>
  </conditionalFormatting>
  <conditionalFormatting sqref="I12:I68">
    <cfRule type="expression" dxfId="218" priority="340">
      <formula>ValidaTecnologia(INDIRECT("G"&amp;ROW()),INDIRECT("V"&amp;ROW()),INDIRECT("F"&amp;ROW()),INDIRECT("U"&amp;ROW()))</formula>
    </cfRule>
  </conditionalFormatting>
  <conditionalFormatting sqref="B24">
    <cfRule type="duplicateValues" dxfId="217" priority="339"/>
  </conditionalFormatting>
  <conditionalFormatting sqref="B25">
    <cfRule type="duplicateValues" dxfId="216" priority="338"/>
  </conditionalFormatting>
  <conditionalFormatting sqref="B26">
    <cfRule type="duplicateValues" dxfId="215" priority="337"/>
  </conditionalFormatting>
  <conditionalFormatting sqref="B27">
    <cfRule type="duplicateValues" dxfId="214" priority="336"/>
  </conditionalFormatting>
  <conditionalFormatting sqref="B28">
    <cfRule type="duplicateValues" dxfId="213" priority="335"/>
  </conditionalFormatting>
  <conditionalFormatting sqref="B29">
    <cfRule type="duplicateValues" dxfId="212" priority="334"/>
  </conditionalFormatting>
  <conditionalFormatting sqref="B30">
    <cfRule type="duplicateValues" dxfId="211" priority="333"/>
  </conditionalFormatting>
  <conditionalFormatting sqref="B31">
    <cfRule type="duplicateValues" dxfId="210" priority="332"/>
  </conditionalFormatting>
  <conditionalFormatting sqref="B32">
    <cfRule type="duplicateValues" dxfId="209" priority="331"/>
  </conditionalFormatting>
  <conditionalFormatting sqref="B33">
    <cfRule type="duplicateValues" dxfId="208" priority="330"/>
  </conditionalFormatting>
  <conditionalFormatting sqref="B34">
    <cfRule type="duplicateValues" dxfId="207" priority="329"/>
  </conditionalFormatting>
  <conditionalFormatting sqref="B35">
    <cfRule type="duplicateValues" dxfId="206" priority="328"/>
  </conditionalFormatting>
  <conditionalFormatting sqref="B36">
    <cfRule type="duplicateValues" dxfId="205" priority="327"/>
  </conditionalFormatting>
  <conditionalFormatting sqref="B37">
    <cfRule type="duplicateValues" dxfId="204" priority="326"/>
  </conditionalFormatting>
  <conditionalFormatting sqref="B38">
    <cfRule type="duplicateValues" dxfId="203" priority="325"/>
  </conditionalFormatting>
  <conditionalFormatting sqref="B39">
    <cfRule type="duplicateValues" dxfId="202" priority="324"/>
  </conditionalFormatting>
  <conditionalFormatting sqref="B40">
    <cfRule type="duplicateValues" dxfId="201" priority="323"/>
  </conditionalFormatting>
  <conditionalFormatting sqref="B41">
    <cfRule type="duplicateValues" dxfId="200" priority="322"/>
  </conditionalFormatting>
  <conditionalFormatting sqref="B42">
    <cfRule type="duplicateValues" dxfId="199" priority="321"/>
  </conditionalFormatting>
  <conditionalFormatting sqref="B43">
    <cfRule type="duplicateValues" dxfId="198" priority="320"/>
  </conditionalFormatting>
  <conditionalFormatting sqref="B44">
    <cfRule type="duplicateValues" dxfId="197" priority="319"/>
  </conditionalFormatting>
  <conditionalFormatting sqref="B45">
    <cfRule type="duplicateValues" dxfId="196" priority="318"/>
  </conditionalFormatting>
  <conditionalFormatting sqref="B46">
    <cfRule type="duplicateValues" dxfId="195" priority="317"/>
  </conditionalFormatting>
  <conditionalFormatting sqref="B47">
    <cfRule type="duplicateValues" dxfId="194" priority="316"/>
  </conditionalFormatting>
  <conditionalFormatting sqref="B48">
    <cfRule type="duplicateValues" dxfId="193" priority="315"/>
  </conditionalFormatting>
  <conditionalFormatting sqref="B49">
    <cfRule type="duplicateValues" dxfId="192" priority="314"/>
  </conditionalFormatting>
  <conditionalFormatting sqref="B50">
    <cfRule type="duplicateValues" dxfId="191" priority="313"/>
  </conditionalFormatting>
  <conditionalFormatting sqref="B51">
    <cfRule type="duplicateValues" dxfId="190" priority="312"/>
  </conditionalFormatting>
  <conditionalFormatting sqref="B52">
    <cfRule type="duplicateValues" dxfId="189" priority="311"/>
  </conditionalFormatting>
  <conditionalFormatting sqref="B53">
    <cfRule type="duplicateValues" dxfId="188" priority="310"/>
  </conditionalFormatting>
  <conditionalFormatting sqref="B54">
    <cfRule type="duplicateValues" dxfId="187" priority="309"/>
  </conditionalFormatting>
  <conditionalFormatting sqref="B55">
    <cfRule type="duplicateValues" dxfId="186" priority="308"/>
  </conditionalFormatting>
  <conditionalFormatting sqref="B56">
    <cfRule type="duplicateValues" dxfId="185" priority="307"/>
  </conditionalFormatting>
  <conditionalFormatting sqref="B57">
    <cfRule type="duplicateValues" dxfId="184" priority="306"/>
  </conditionalFormatting>
  <conditionalFormatting sqref="B58">
    <cfRule type="duplicateValues" dxfId="183" priority="305"/>
  </conditionalFormatting>
  <conditionalFormatting sqref="B59">
    <cfRule type="duplicateValues" dxfId="182" priority="304"/>
  </conditionalFormatting>
  <conditionalFormatting sqref="B60">
    <cfRule type="duplicateValues" dxfId="181" priority="303"/>
  </conditionalFormatting>
  <conditionalFormatting sqref="B61">
    <cfRule type="duplicateValues" dxfId="180" priority="302"/>
  </conditionalFormatting>
  <conditionalFormatting sqref="B62">
    <cfRule type="duplicateValues" dxfId="179" priority="301"/>
  </conditionalFormatting>
  <conditionalFormatting sqref="B63">
    <cfRule type="duplicateValues" dxfId="178" priority="300"/>
  </conditionalFormatting>
  <conditionalFormatting sqref="B64">
    <cfRule type="duplicateValues" dxfId="177" priority="299"/>
  </conditionalFormatting>
  <conditionalFormatting sqref="B65">
    <cfRule type="duplicateValues" dxfId="176" priority="298"/>
  </conditionalFormatting>
  <conditionalFormatting sqref="B66">
    <cfRule type="duplicateValues" dxfId="175" priority="297"/>
  </conditionalFormatting>
  <conditionalFormatting sqref="B67">
    <cfRule type="duplicateValues" dxfId="174" priority="296"/>
  </conditionalFormatting>
  <conditionalFormatting sqref="B68">
    <cfRule type="duplicateValues" dxfId="173" priority="295"/>
  </conditionalFormatting>
  <conditionalFormatting sqref="B69">
    <cfRule type="duplicateValues" dxfId="172" priority="294"/>
  </conditionalFormatting>
  <conditionalFormatting sqref="A75">
    <cfRule type="duplicateValues" dxfId="171" priority="293"/>
  </conditionalFormatting>
  <conditionalFormatting sqref="J75">
    <cfRule type="expression" dxfId="170" priority="290">
      <formula>AND(OR($H75="Perfectiva",$H75="Somente teste",$H75="Teste + Plano",$H75="Eliminar"),J75&lt;&gt;"")</formula>
    </cfRule>
  </conditionalFormatting>
  <conditionalFormatting sqref="K75">
    <cfRule type="expression" dxfId="169" priority="289">
      <formula>AND(OR($H75="Perfectiva",$H75="Somente teste",$H75="Teste + Plano",$H75="Eliminar"),K75&lt;&gt;"")</formula>
    </cfRule>
  </conditionalFormatting>
  <conditionalFormatting sqref="L75">
    <cfRule type="expression" dxfId="168" priority="288">
      <formula>AND(OR($H75="Perfectiva",$H75="Somente teste",$H75="Teste + Plano",$H75="Eliminar"),L75&lt;&gt;"")</formula>
    </cfRule>
  </conditionalFormatting>
  <conditionalFormatting sqref="O75">
    <cfRule type="expression" dxfId="167" priority="287">
      <formula>"E(OU($H7=""Perfectiva"";$H7=""Eliminar"";$H7=""Somente teste"";$H7=""Teste + Plano"");O7&lt;&gt;"""")"</formula>
    </cfRule>
  </conditionalFormatting>
  <conditionalFormatting sqref="P75">
    <cfRule type="expression" dxfId="166" priority="286">
      <formula>"E(OU($H7=""Perfectiva"";$H7=""Eliminar"";$H7=""Somente teste"";$H7=""Teste + Plano"");P7&lt;&gt;"""")"</formula>
    </cfRule>
  </conditionalFormatting>
  <conditionalFormatting sqref="Q75">
    <cfRule type="expression" dxfId="165" priority="285">
      <formula>"E(OU($H7=""Perfectiva"";$H7=""Eliminar"";$H7=""Somente teste"";$H7=""Teste + Plano"");Q7&lt;&gt;"""")"</formula>
    </cfRule>
  </conditionalFormatting>
  <conditionalFormatting sqref="T75">
    <cfRule type="expression" dxfId="164" priority="284">
      <formula>ImpactoMaximo( INDIRECT( "T" &amp; ROW() ) )</formula>
    </cfRule>
  </conditionalFormatting>
  <conditionalFormatting sqref="A74">
    <cfRule type="duplicateValues" dxfId="163" priority="283"/>
  </conditionalFormatting>
  <conditionalFormatting sqref="J74">
    <cfRule type="expression" dxfId="162" priority="280">
      <formula>AND(OR($H74="Perfectiva",$H74="Somente teste",$H74="Teste + Plano",$H74="Eliminar"),J74&lt;&gt;"")</formula>
    </cfRule>
  </conditionalFormatting>
  <conditionalFormatting sqref="K74">
    <cfRule type="expression" dxfId="161" priority="279">
      <formula>AND(OR($H74="Perfectiva",$H74="Somente teste",$H74="Teste + Plano",$H74="Eliminar"),K74&lt;&gt;"")</formula>
    </cfRule>
  </conditionalFormatting>
  <conditionalFormatting sqref="L74">
    <cfRule type="expression" dxfId="160" priority="278">
      <formula>AND(OR($H74="Perfectiva",$H74="Somente teste",$H74="Teste + Plano",$H74="Eliminar"),L74&lt;&gt;"")</formula>
    </cfRule>
  </conditionalFormatting>
  <conditionalFormatting sqref="O74">
    <cfRule type="expression" dxfId="159" priority="277">
      <formula>"E(OU($H7=""Perfectiva"";$H7=""Eliminar"";$H7=""Somente teste"";$H7=""Teste + Plano"");O7&lt;&gt;"""")"</formula>
    </cfRule>
  </conditionalFormatting>
  <conditionalFormatting sqref="P74">
    <cfRule type="expression" dxfId="158" priority="276">
      <formula>"E(OU($H7=""Perfectiva"";$H7=""Eliminar"";$H7=""Somente teste"";$H7=""Teste + Plano"");P7&lt;&gt;"""")"</formula>
    </cfRule>
  </conditionalFormatting>
  <conditionalFormatting sqref="Q74">
    <cfRule type="expression" dxfId="157" priority="275">
      <formula>"E(OU($H7=""Perfectiva"";$H7=""Eliminar"";$H7=""Somente teste"";$H7=""Teste + Plano"");Q7&lt;&gt;"""")"</formula>
    </cfRule>
  </conditionalFormatting>
  <conditionalFormatting sqref="T74">
    <cfRule type="expression" dxfId="156" priority="274">
      <formula>ImpactoMaximo( INDIRECT( "T" &amp; ROW() ) )</formula>
    </cfRule>
  </conditionalFormatting>
  <conditionalFormatting sqref="B74">
    <cfRule type="duplicateValues" dxfId="155" priority="273"/>
  </conditionalFormatting>
  <conditionalFormatting sqref="B75">
    <cfRule type="duplicateValues" dxfId="154" priority="272"/>
  </conditionalFormatting>
  <conditionalFormatting sqref="I69 I74:I75">
    <cfRule type="expression" dxfId="153" priority="271">
      <formula>ValidaTecnologia(INDIRECT("G"&amp;ROW()),INDIRECT("V"&amp;ROW()),INDIRECT("F"&amp;ROW()),INDIRECT("U"&amp;ROW()))</formula>
    </cfRule>
  </conditionalFormatting>
  <conditionalFormatting sqref="B11">
    <cfRule type="duplicateValues" dxfId="152" priority="237"/>
  </conditionalFormatting>
  <conditionalFormatting sqref="A70:A71">
    <cfRule type="duplicateValues" dxfId="151" priority="235"/>
  </conditionalFormatting>
  <conditionalFormatting sqref="J70">
    <cfRule type="expression" dxfId="150" priority="232">
      <formula>AND(OR($H70="Perfectiva",$H70="Somente teste",$H70="Teste + Plano",$H70="Eliminar"),J70&lt;&gt;"")</formula>
    </cfRule>
  </conditionalFormatting>
  <conditionalFormatting sqref="K70">
    <cfRule type="expression" dxfId="149" priority="231">
      <formula>AND(OR($H70="Perfectiva",$H70="Somente teste",$H70="Teste + Plano",$H70="Eliminar"),K70&lt;&gt;"")</formula>
    </cfRule>
  </conditionalFormatting>
  <conditionalFormatting sqref="L70">
    <cfRule type="expression" dxfId="148" priority="230">
      <formula>AND(OR($H70="Perfectiva",$H70="Somente teste",$H70="Teste + Plano",$H70="Eliminar"),L70&lt;&gt;"")</formula>
    </cfRule>
  </conditionalFormatting>
  <conditionalFormatting sqref="O70">
    <cfRule type="expression" dxfId="147" priority="229">
      <formula>"E(OU($H7=""Perfectiva"";$H7=""Eliminar"";$H7=""Somente teste"";$H7=""Teste + Plano"");O7&lt;&gt;"""")"</formula>
    </cfRule>
  </conditionalFormatting>
  <conditionalFormatting sqref="P70">
    <cfRule type="expression" dxfId="146" priority="228">
      <formula>"E(OU($H7=""Perfectiva"";$H7=""Eliminar"";$H7=""Somente teste"";$H7=""Teste + Plano"");P7&lt;&gt;"""")"</formula>
    </cfRule>
  </conditionalFormatting>
  <conditionalFormatting sqref="Q70">
    <cfRule type="expression" dxfId="145" priority="227">
      <formula>"E(OU($H7=""Perfectiva"";$H7=""Eliminar"";$H7=""Somente teste"";$H7=""Teste + Plano"");Q7&lt;&gt;"""")"</formula>
    </cfRule>
  </conditionalFormatting>
  <conditionalFormatting sqref="T70">
    <cfRule type="expression" dxfId="144" priority="226">
      <formula>ImpactoMaximo( INDIRECT( "T" &amp; ROW() ) )</formula>
    </cfRule>
  </conditionalFormatting>
  <conditionalFormatting sqref="B71">
    <cfRule type="duplicateValues" dxfId="143" priority="225"/>
  </conditionalFormatting>
  <conditionalFormatting sqref="J71">
    <cfRule type="expression" dxfId="142" priority="221">
      <formula>AND(OR($H71="Perfectiva",$H71="Somente teste",$H71="Teste + Plano",$H71="Eliminar"),J71&lt;&gt;"")</formula>
    </cfRule>
  </conditionalFormatting>
  <conditionalFormatting sqref="K71">
    <cfRule type="expression" dxfId="141" priority="220">
      <formula>AND(OR($H71="Perfectiva",$H71="Somente teste",$H71="Teste + Plano",$H71="Eliminar"),K71&lt;&gt;"")</formula>
    </cfRule>
  </conditionalFormatting>
  <conditionalFormatting sqref="L71">
    <cfRule type="expression" dxfId="140" priority="219">
      <formula>AND(OR($H71="Perfectiva",$H71="Somente teste",$H71="Teste + Plano",$H71="Eliminar"),L71&lt;&gt;"")</formula>
    </cfRule>
  </conditionalFormatting>
  <conditionalFormatting sqref="O71">
    <cfRule type="expression" dxfId="139" priority="218">
      <formula>"E(OU($H7=""Perfectiva"";$H7=""Eliminar"";$H7=""Somente teste"";$H7=""Teste + Plano"");O7&lt;&gt;"""")"</formula>
    </cfRule>
  </conditionalFormatting>
  <conditionalFormatting sqref="P71">
    <cfRule type="expression" dxfId="138" priority="217">
      <formula>"E(OU($H7=""Perfectiva"";$H7=""Eliminar"";$H7=""Somente teste"";$H7=""Teste + Plano"");P7&lt;&gt;"""")"</formula>
    </cfRule>
  </conditionalFormatting>
  <conditionalFormatting sqref="Q71">
    <cfRule type="expression" dxfId="137" priority="216">
      <formula>"E(OU($H7=""Perfectiva"";$H7=""Eliminar"";$H7=""Somente teste"";$H7=""Teste + Plano"");Q7&lt;&gt;"""")"</formula>
    </cfRule>
  </conditionalFormatting>
  <conditionalFormatting sqref="T71">
    <cfRule type="expression" dxfId="136" priority="215">
      <formula>ImpactoMaximo( INDIRECT( "T" &amp; ROW() ) )</formula>
    </cfRule>
  </conditionalFormatting>
  <conditionalFormatting sqref="B70">
    <cfRule type="duplicateValues" dxfId="135" priority="214"/>
  </conditionalFormatting>
  <conditionalFormatting sqref="I70:I71">
    <cfRule type="expression" dxfId="134" priority="213">
      <formula>ValidaTecnologia(INDIRECT("G"&amp;ROW()),INDIRECT("V"&amp;ROW()),INDIRECT("F"&amp;ROW()),INDIRECT("U"&amp;ROW()))</formula>
    </cfRule>
  </conditionalFormatting>
  <conditionalFormatting sqref="I77">
    <cfRule type="expression" dxfId="133" priority="210">
      <formula>ValidaTecnologia(INDIRECT("G"&amp;ROW()),INDIRECT("V"&amp;ROW()),INDIRECT("F"&amp;ROW()),INDIRECT("U"&amp;ROW()))</formula>
    </cfRule>
  </conditionalFormatting>
  <conditionalFormatting sqref="J77">
    <cfRule type="expression" dxfId="132" priority="209">
      <formula>AND(OR($H77="Perfectiva",$H77="Somente teste",$H77="Teste + Plano",$H77="Eliminar"),J77&lt;&gt;"")</formula>
    </cfRule>
  </conditionalFormatting>
  <conditionalFormatting sqref="K77">
    <cfRule type="expression" dxfId="131" priority="208">
      <formula>AND(OR($H77="Perfectiva",$H77="Somente teste",$H77="Teste + Plano",$H77="Eliminar"),K77&lt;&gt;"")</formula>
    </cfRule>
  </conditionalFormatting>
  <conditionalFormatting sqref="L77">
    <cfRule type="expression" dxfId="130" priority="207">
      <formula>AND(OR($H77="Perfectiva",$H77="Somente teste",$H77="Teste + Plano",$H77="Eliminar"),L77&lt;&gt;"")</formula>
    </cfRule>
  </conditionalFormatting>
  <conditionalFormatting sqref="O77">
    <cfRule type="expression" dxfId="129" priority="206">
      <formula>"E(OU($H7=""Perfectiva"";$H7=""Eliminar"";$H7=""Somente teste"";$H7=""Teste + Plano"");O7&lt;&gt;"""")"</formula>
    </cfRule>
  </conditionalFormatting>
  <conditionalFormatting sqref="P77">
    <cfRule type="expression" dxfId="128" priority="205">
      <formula>"E(OU($H7=""Perfectiva"";$H7=""Eliminar"";$H7=""Somente teste"";$H7=""Teste + Plano"");P7&lt;&gt;"""")"</formula>
    </cfRule>
  </conditionalFormatting>
  <conditionalFormatting sqref="Q77">
    <cfRule type="expression" dxfId="127" priority="204">
      <formula>"E(OU($H7=""Perfectiva"";$H7=""Eliminar"";$H7=""Somente teste"";$H7=""Teste + Plano"");Q7&lt;&gt;"""")"</formula>
    </cfRule>
  </conditionalFormatting>
  <conditionalFormatting sqref="T77">
    <cfRule type="expression" dxfId="126" priority="203">
      <formula>ImpactoMaximo( INDIRECT( "T" &amp; ROW() ) )</formula>
    </cfRule>
  </conditionalFormatting>
  <conditionalFormatting sqref="B77">
    <cfRule type="duplicateValues" dxfId="125" priority="202"/>
  </conditionalFormatting>
  <conditionalFormatting sqref="A82">
    <cfRule type="duplicateValues" dxfId="124" priority="189"/>
  </conditionalFormatting>
  <conditionalFormatting sqref="W82">
    <cfRule type="expression" dxfId="123" priority="188">
      <formula>ValidaTecnologia(INDIRECT("G"&amp;ROW()),INDIRECT("V"&amp;ROW()),INDIRECT("F"&amp;ROW()),INDIRECT("U"&amp;ROW()))</formula>
    </cfRule>
  </conditionalFormatting>
  <conditionalFormatting sqref="I82">
    <cfRule type="expression" dxfId="122" priority="187">
      <formula>ValidaTecnologia(INDIRECT("G"&amp;ROW()),INDIRECT("V"&amp;ROW()),INDIRECT("F"&amp;ROW()),INDIRECT("U"&amp;ROW()))</formula>
    </cfRule>
  </conditionalFormatting>
  <conditionalFormatting sqref="J82">
    <cfRule type="expression" dxfId="121" priority="186">
      <formula>AND(OR($H82="Perfectiva",$H82="Somente teste",$H82="Teste + Plano",$H82="Eliminar"),J82&lt;&gt;"")</formula>
    </cfRule>
  </conditionalFormatting>
  <conditionalFormatting sqref="K82">
    <cfRule type="expression" dxfId="120" priority="185">
      <formula>AND(OR($H82="Perfectiva",$H82="Somente teste",$H82="Teste + Plano",$H82="Eliminar"),K82&lt;&gt;"")</formula>
    </cfRule>
  </conditionalFormatting>
  <conditionalFormatting sqref="L82">
    <cfRule type="expression" dxfId="119" priority="184">
      <formula>AND(OR($H82="Perfectiva",$H82="Somente teste",$H82="Teste + Plano",$H82="Eliminar"),L82&lt;&gt;"")</formula>
    </cfRule>
  </conditionalFormatting>
  <conditionalFormatting sqref="O82">
    <cfRule type="expression" dxfId="118" priority="183">
      <formula>"E(OU($H7=""Perfectiva"";$H7=""Eliminar"";$H7=""Somente teste"";$H7=""Teste + Plano"");O7&lt;&gt;"""")"</formula>
    </cfRule>
  </conditionalFormatting>
  <conditionalFormatting sqref="P82">
    <cfRule type="expression" dxfId="117" priority="182">
      <formula>"E(OU($H7=""Perfectiva"";$H7=""Eliminar"";$H7=""Somente teste"";$H7=""Teste + Plano"");P7&lt;&gt;"""")"</formula>
    </cfRule>
  </conditionalFormatting>
  <conditionalFormatting sqref="Q82">
    <cfRule type="expression" dxfId="116" priority="181">
      <formula>"E(OU($H7=""Perfectiva"";$H7=""Eliminar"";$H7=""Somente teste"";$H7=""Teste + Plano"");Q7&lt;&gt;"""")"</formula>
    </cfRule>
  </conditionalFormatting>
  <conditionalFormatting sqref="T82">
    <cfRule type="expression" dxfId="115" priority="180">
      <formula>ImpactoMaximo( INDIRECT( "T" &amp; ROW() ) )</formula>
    </cfRule>
  </conditionalFormatting>
  <conditionalFormatting sqref="B82">
    <cfRule type="duplicateValues" dxfId="114" priority="179"/>
  </conditionalFormatting>
  <conditionalFormatting sqref="A77">
    <cfRule type="duplicateValues" dxfId="113" priority="2844"/>
  </conditionalFormatting>
  <conditionalFormatting sqref="A79">
    <cfRule type="duplicateValues" dxfId="112" priority="165"/>
  </conditionalFormatting>
  <conditionalFormatting sqref="J79">
    <cfRule type="expression" dxfId="111" priority="162">
      <formula>AND(OR($H79="Perfectiva",$H79="Somente teste",$H79="Teste + Plano",$H79="Eliminar"),J79&lt;&gt;"")</formula>
    </cfRule>
  </conditionalFormatting>
  <conditionalFormatting sqref="K79">
    <cfRule type="expression" dxfId="110" priority="161">
      <formula>AND(OR($H79="Perfectiva",$H79="Somente teste",$H79="Teste + Plano",$H79="Eliminar"),K79&lt;&gt;"")</formula>
    </cfRule>
  </conditionalFormatting>
  <conditionalFormatting sqref="L79">
    <cfRule type="expression" dxfId="109" priority="160">
      <formula>AND(OR($H79="Perfectiva",$H79="Somente teste",$H79="Teste + Plano",$H79="Eliminar"),L79&lt;&gt;"")</formula>
    </cfRule>
  </conditionalFormatting>
  <conditionalFormatting sqref="O79">
    <cfRule type="expression" dxfId="108" priority="159">
      <formula>"E(OU($H7=""Perfectiva"";$H7=""Eliminar"";$H7=""Somente teste"";$H7=""Teste + Plano"");O7&lt;&gt;"""")"</formula>
    </cfRule>
  </conditionalFormatting>
  <conditionalFormatting sqref="P79">
    <cfRule type="expression" dxfId="107" priority="158">
      <formula>"E(OU($H7=""Perfectiva"";$H7=""Eliminar"";$H7=""Somente teste"";$H7=""Teste + Plano"");P7&lt;&gt;"""")"</formula>
    </cfRule>
  </conditionalFormatting>
  <conditionalFormatting sqref="Q79">
    <cfRule type="expression" dxfId="106" priority="157">
      <formula>"E(OU($H7=""Perfectiva"";$H7=""Eliminar"";$H7=""Somente teste"";$H7=""Teste + Plano"");Q7&lt;&gt;"""")"</formula>
    </cfRule>
  </conditionalFormatting>
  <conditionalFormatting sqref="T79">
    <cfRule type="expression" dxfId="105" priority="156">
      <formula>ImpactoMaximo( INDIRECT( "T" &amp; ROW() ) )</formula>
    </cfRule>
  </conditionalFormatting>
  <conditionalFormatting sqref="A78">
    <cfRule type="duplicateValues" dxfId="104" priority="155"/>
  </conditionalFormatting>
  <conditionalFormatting sqref="I78">
    <cfRule type="expression" dxfId="103" priority="153">
      <formula>ValidaTecnologia(INDIRECT("G"&amp;ROW()),INDIRECT("V"&amp;ROW()),INDIRECT("F"&amp;ROW()),INDIRECT("U"&amp;ROW()))</formula>
    </cfRule>
  </conditionalFormatting>
  <conditionalFormatting sqref="J78">
    <cfRule type="expression" dxfId="102" priority="152">
      <formula>AND(OR($H78="Perfectiva",$H78="Somente teste",$H78="Teste + Plano",$H78="Eliminar"),J78&lt;&gt;"")</formula>
    </cfRule>
  </conditionalFormatting>
  <conditionalFormatting sqref="K78">
    <cfRule type="expression" dxfId="101" priority="151">
      <formula>AND(OR($H78="Perfectiva",$H78="Somente teste",$H78="Teste + Plano",$H78="Eliminar"),K78&lt;&gt;"")</formula>
    </cfRule>
  </conditionalFormatting>
  <conditionalFormatting sqref="L78">
    <cfRule type="expression" dxfId="100" priority="150">
      <formula>AND(OR($H78="Perfectiva",$H78="Somente teste",$H78="Teste + Plano",$H78="Eliminar"),L78&lt;&gt;"")</formula>
    </cfRule>
  </conditionalFormatting>
  <conditionalFormatting sqref="O78">
    <cfRule type="expression" dxfId="99" priority="149">
      <formula>"E(OU($H7=""Perfectiva"";$H7=""Eliminar"";$H7=""Somente teste"";$H7=""Teste + Plano"");O7&lt;&gt;"""")"</formula>
    </cfRule>
  </conditionalFormatting>
  <conditionalFormatting sqref="P78">
    <cfRule type="expression" dxfId="98" priority="148">
      <formula>"E(OU($H7=""Perfectiva"";$H7=""Eliminar"";$H7=""Somente teste"";$H7=""Teste + Plano"");P7&lt;&gt;"""")"</formula>
    </cfRule>
  </conditionalFormatting>
  <conditionalFormatting sqref="Q78">
    <cfRule type="expression" dxfId="97" priority="147">
      <formula>"E(OU($H7=""Perfectiva"";$H7=""Eliminar"";$H7=""Somente teste"";$H7=""Teste + Plano"");Q7&lt;&gt;"""")"</formula>
    </cfRule>
  </conditionalFormatting>
  <conditionalFormatting sqref="T78">
    <cfRule type="expression" dxfId="96" priority="146">
      <formula>ImpactoMaximo( INDIRECT( "T" &amp; ROW() ) )</formula>
    </cfRule>
  </conditionalFormatting>
  <conditionalFormatting sqref="W80">
    <cfRule type="expression" dxfId="95" priority="144">
      <formula>ValidaTecnologia(INDIRECT("G"&amp;ROW()),INDIRECT("V"&amp;ROW()),INDIRECT("F"&amp;ROW()),INDIRECT("U"&amp;ROW()))</formula>
    </cfRule>
  </conditionalFormatting>
  <conditionalFormatting sqref="J80">
    <cfRule type="expression" dxfId="94" priority="142">
      <formula>AND(OR($H80="Perfectiva",$H80="Somente teste",$H80="Teste + Plano",$H80="Eliminar"),J80&lt;&gt;"")</formula>
    </cfRule>
  </conditionalFormatting>
  <conditionalFormatting sqref="K80">
    <cfRule type="expression" dxfId="93" priority="141">
      <formula>AND(OR($H80="Perfectiva",$H80="Somente teste",$H80="Teste + Plano",$H80="Eliminar"),K80&lt;&gt;"")</formula>
    </cfRule>
  </conditionalFormatting>
  <conditionalFormatting sqref="L80">
    <cfRule type="expression" dxfId="92" priority="140">
      <formula>AND(OR($H80="Perfectiva",$H80="Somente teste",$H80="Teste + Plano",$H80="Eliminar"),L80&lt;&gt;"")</formula>
    </cfRule>
  </conditionalFormatting>
  <conditionalFormatting sqref="O80">
    <cfRule type="expression" dxfId="91" priority="139">
      <formula>"E(OU($H7=""Perfectiva"";$H7=""Eliminar"";$H7=""Somente teste"";$H7=""Teste + Plano"");O7&lt;&gt;"""")"</formula>
    </cfRule>
  </conditionalFormatting>
  <conditionalFormatting sqref="P80">
    <cfRule type="expression" dxfId="90" priority="138">
      <formula>"E(OU($H7=""Perfectiva"";$H7=""Eliminar"";$H7=""Somente teste"";$H7=""Teste + Plano"");P7&lt;&gt;"""")"</formula>
    </cfRule>
  </conditionalFormatting>
  <conditionalFormatting sqref="Q80">
    <cfRule type="expression" dxfId="89" priority="137">
      <formula>"E(OU($H7=""Perfectiva"";$H7=""Eliminar"";$H7=""Somente teste"";$H7=""Teste + Plano"");Q7&lt;&gt;"""")"</formula>
    </cfRule>
  </conditionalFormatting>
  <conditionalFormatting sqref="T80">
    <cfRule type="expression" dxfId="88" priority="136">
      <formula>ImpactoMaximo( INDIRECT( "T" &amp; ROW() ) )</formula>
    </cfRule>
  </conditionalFormatting>
  <conditionalFormatting sqref="A80">
    <cfRule type="duplicateValues" dxfId="87" priority="135"/>
  </conditionalFormatting>
  <conditionalFormatting sqref="B80">
    <cfRule type="duplicateValues" dxfId="86" priority="134"/>
  </conditionalFormatting>
  <conditionalFormatting sqref="B79">
    <cfRule type="duplicateValues" dxfId="85" priority="133"/>
  </conditionalFormatting>
  <conditionalFormatting sqref="B78">
    <cfRule type="duplicateValues" dxfId="84" priority="132"/>
  </conditionalFormatting>
  <conditionalFormatting sqref="I79">
    <cfRule type="expression" dxfId="83" priority="131">
      <formula>ValidaTecnologia(INDIRECT("G"&amp;ROW()),INDIRECT("V"&amp;ROW()),INDIRECT("F"&amp;ROW()),INDIRECT("U"&amp;ROW()))</formula>
    </cfRule>
  </conditionalFormatting>
  <conditionalFormatting sqref="I80">
    <cfRule type="expression" dxfId="82" priority="130">
      <formula>ValidaTecnologia(INDIRECT("G"&amp;ROW()),INDIRECT("V"&amp;ROW()),INDIRECT("F"&amp;ROW()),INDIRECT("U"&amp;ROW()))</formula>
    </cfRule>
  </conditionalFormatting>
  <conditionalFormatting sqref="W6:W7 W11:W71 W74:W75 W77:W79">
    <cfRule type="expression" dxfId="81" priority="129">
      <formula>ValidaTecnologia(INDIRECT("G"&amp;ROW()),INDIRECT("V"&amp;ROW()),INDIRECT("F"&amp;ROW()),INDIRECT("U"&amp;ROW()))</formula>
    </cfRule>
  </conditionalFormatting>
  <conditionalFormatting sqref="J10">
    <cfRule type="expression" dxfId="80" priority="115">
      <formula>AND(OR($H10="Perfectiva",$H10="Somente teste",$H10="Teste + Plano",$H10="Eliminar"),J10&lt;&gt;"")</formula>
    </cfRule>
  </conditionalFormatting>
  <conditionalFormatting sqref="K10">
    <cfRule type="expression" dxfId="79" priority="114">
      <formula>AND(OR($H10="Perfectiva",$H10="Somente teste",$H10="Teste + Plano",$H10="Eliminar"),K10&lt;&gt;"")</formula>
    </cfRule>
  </conditionalFormatting>
  <conditionalFormatting sqref="L10">
    <cfRule type="expression" dxfId="78" priority="113">
      <formula>AND(OR($H10="Perfectiva",$H10="Somente teste",$H10="Teste + Plano",$H10="Eliminar"),L10&lt;&gt;"")</formula>
    </cfRule>
  </conditionalFormatting>
  <conditionalFormatting sqref="O10">
    <cfRule type="expression" dxfId="77" priority="112">
      <formula>"E(OU($H7=""Perfectiva"";$H7=""Eliminar"";$H7=""Somente teste"";$H7=""Teste + Plano"");O7&lt;&gt;"""")"</formula>
    </cfRule>
  </conditionalFormatting>
  <conditionalFormatting sqref="P10">
    <cfRule type="expression" dxfId="76" priority="111">
      <formula>"E(OU($H7=""Perfectiva"";$H7=""Eliminar"";$H7=""Somente teste"";$H7=""Teste + Plano"");P7&lt;&gt;"""")"</formula>
    </cfRule>
  </conditionalFormatting>
  <conditionalFormatting sqref="Q10">
    <cfRule type="expression" dxfId="75" priority="110">
      <formula>"E(OU($H7=""Perfectiva"";$H7=""Eliminar"";$H7=""Somente teste"";$H7=""Teste + Plano"");Q7&lt;&gt;"""")"</formula>
    </cfRule>
  </conditionalFormatting>
  <conditionalFormatting sqref="T10">
    <cfRule type="expression" dxfId="74" priority="109">
      <formula>ImpactoMaximo( INDIRECT( "T" &amp; ROW() ) )</formula>
    </cfRule>
  </conditionalFormatting>
  <conditionalFormatting sqref="J8">
    <cfRule type="expression" dxfId="73" priority="105">
      <formula>AND(OR($H8="Perfectiva",$H8="Somente teste",$H8="Teste + Plano",$H8="Eliminar"),J8&lt;&gt;"")</formula>
    </cfRule>
  </conditionalFormatting>
  <conditionalFormatting sqref="K8">
    <cfRule type="expression" dxfId="72" priority="104">
      <formula>AND(OR($H8="Perfectiva",$H8="Somente teste",$H8="Teste + Plano",$H8="Eliminar"),K8&lt;&gt;"")</formula>
    </cfRule>
  </conditionalFormatting>
  <conditionalFormatting sqref="L8">
    <cfRule type="expression" dxfId="71" priority="103">
      <formula>AND(OR($H8="Perfectiva",$H8="Somente teste",$H8="Teste + Plano",$H8="Eliminar"),L8&lt;&gt;"")</formula>
    </cfRule>
  </conditionalFormatting>
  <conditionalFormatting sqref="O8">
    <cfRule type="expression" dxfId="70" priority="102">
      <formula>"E(OU($H7=""Perfectiva"";$H7=""Eliminar"";$H7=""Somente teste"";$H7=""Teste + Plano"");O7&lt;&gt;"""")"</formula>
    </cfRule>
  </conditionalFormatting>
  <conditionalFormatting sqref="P8">
    <cfRule type="expression" dxfId="69" priority="101">
      <formula>"E(OU($H7=""Perfectiva"";$H7=""Eliminar"";$H7=""Somente teste"";$H7=""Teste + Plano"");P7&lt;&gt;"""")"</formula>
    </cfRule>
  </conditionalFormatting>
  <conditionalFormatting sqref="Q8">
    <cfRule type="expression" dxfId="68" priority="100">
      <formula>"E(OU($H7=""Perfectiva"";$H7=""Eliminar"";$H7=""Somente teste"";$H7=""Teste + Plano"");Q7&lt;&gt;"""")"</formula>
    </cfRule>
  </conditionalFormatting>
  <conditionalFormatting sqref="T8">
    <cfRule type="expression" dxfId="67" priority="99">
      <formula>ImpactoMaximo( INDIRECT( "T" &amp; ROW() ) )</formula>
    </cfRule>
  </conditionalFormatting>
  <conditionalFormatting sqref="A8">
    <cfRule type="duplicateValues" dxfId="66" priority="98"/>
  </conditionalFormatting>
  <conditionalFormatting sqref="A10">
    <cfRule type="duplicateValues" dxfId="65" priority="97"/>
  </conditionalFormatting>
  <conditionalFormatting sqref="B8">
    <cfRule type="duplicateValues" dxfId="64" priority="95"/>
  </conditionalFormatting>
  <conditionalFormatting sqref="B10">
    <cfRule type="duplicateValues" dxfId="63" priority="94"/>
  </conditionalFormatting>
  <conditionalFormatting sqref="I8 I10">
    <cfRule type="expression" dxfId="62" priority="92">
      <formula>ValidaTecnologia(INDIRECT("G"&amp;ROW()),INDIRECT("V"&amp;ROW()),INDIRECT("F"&amp;ROW()),INDIRECT("U"&amp;ROW()))</formula>
    </cfRule>
  </conditionalFormatting>
  <conditionalFormatting sqref="W8 W10">
    <cfRule type="expression" dxfId="61" priority="91">
      <formula>ValidaTecnologia(INDIRECT("G"&amp;ROW()),INDIRECT("V"&amp;ROW()),INDIRECT("F"&amp;ROW()),INDIRECT("U"&amp;ROW()))</formula>
    </cfRule>
  </conditionalFormatting>
  <conditionalFormatting sqref="A72">
    <cfRule type="duplicateValues" dxfId="60" priority="80"/>
  </conditionalFormatting>
  <conditionalFormatting sqref="J72">
    <cfRule type="expression" dxfId="59" priority="77">
      <formula>AND(OR($H72="Perfectiva",$H72="Somente teste",$H72="Teste + Plano",$H72="Eliminar"),J72&lt;&gt;"")</formula>
    </cfRule>
  </conditionalFormatting>
  <conditionalFormatting sqref="K72">
    <cfRule type="expression" dxfId="58" priority="76">
      <formula>AND(OR($H72="Perfectiva",$H72="Somente teste",$H72="Teste + Plano",$H72="Eliminar"),K72&lt;&gt;"")</formula>
    </cfRule>
  </conditionalFormatting>
  <conditionalFormatting sqref="L72">
    <cfRule type="expression" dxfId="57" priority="75">
      <formula>AND(OR($H72="Perfectiva",$H72="Somente teste",$H72="Teste + Plano",$H72="Eliminar"),L72&lt;&gt;"")</formula>
    </cfRule>
  </conditionalFormatting>
  <conditionalFormatting sqref="O72">
    <cfRule type="expression" dxfId="56" priority="74">
      <formula>"E(OU($H7=""Perfectiva"";$H7=""Eliminar"";$H7=""Somente teste"";$H7=""Teste + Plano"");O7&lt;&gt;"""")"</formula>
    </cfRule>
  </conditionalFormatting>
  <conditionalFormatting sqref="P72">
    <cfRule type="expression" dxfId="55" priority="73">
      <formula>"E(OU($H7=""Perfectiva"";$H7=""Eliminar"";$H7=""Somente teste"";$H7=""Teste + Plano"");P7&lt;&gt;"""")"</formula>
    </cfRule>
  </conditionalFormatting>
  <conditionalFormatting sqref="Q72">
    <cfRule type="expression" dxfId="54" priority="72">
      <formula>"E(OU($H7=""Perfectiva"";$H7=""Eliminar"";$H7=""Somente teste"";$H7=""Teste + Plano"");Q7&lt;&gt;"""")"</formula>
    </cfRule>
  </conditionalFormatting>
  <conditionalFormatting sqref="T72">
    <cfRule type="expression" dxfId="53" priority="71">
      <formula>ImpactoMaximo( INDIRECT( "T" &amp; ROW() ) )</formula>
    </cfRule>
  </conditionalFormatting>
  <conditionalFormatting sqref="B72">
    <cfRule type="duplicateValues" dxfId="52" priority="70"/>
  </conditionalFormatting>
  <conditionalFormatting sqref="I72">
    <cfRule type="expression" dxfId="51" priority="68">
      <formula>ValidaTecnologia(INDIRECT("G"&amp;ROW()),INDIRECT("V"&amp;ROW()),INDIRECT("F"&amp;ROW()),INDIRECT("U"&amp;ROW()))</formula>
    </cfRule>
  </conditionalFormatting>
  <conditionalFormatting sqref="W72">
    <cfRule type="expression" dxfId="50" priority="67">
      <formula>ValidaTecnologia(INDIRECT("G"&amp;ROW()),INDIRECT("V"&amp;ROW()),INDIRECT("F"&amp;ROW()),INDIRECT("U"&amp;ROW()))</formula>
    </cfRule>
  </conditionalFormatting>
  <conditionalFormatting sqref="J76">
    <cfRule type="expression" dxfId="49" priority="63">
      <formula>AND(OR($H76="Perfectiva",$H76="Somente teste",$H76="Teste + Plano",$H76="Eliminar"),J76&lt;&gt;"")</formula>
    </cfRule>
  </conditionalFormatting>
  <conditionalFormatting sqref="K76">
    <cfRule type="expression" dxfId="48" priority="62">
      <formula>AND(OR($H76="Perfectiva",$H76="Somente teste",$H76="Teste + Plano",$H76="Eliminar"),K76&lt;&gt;"")</formula>
    </cfRule>
  </conditionalFormatting>
  <conditionalFormatting sqref="L76">
    <cfRule type="expression" dxfId="47" priority="61">
      <formula>AND(OR($H76="Perfectiva",$H76="Somente teste",$H76="Teste + Plano",$H76="Eliminar"),L76&lt;&gt;"")</formula>
    </cfRule>
  </conditionalFormatting>
  <conditionalFormatting sqref="O76">
    <cfRule type="expression" dxfId="46" priority="60">
      <formula>"E(OU($H7=""Perfectiva"";$H7=""Eliminar"";$H7=""Somente teste"";$H7=""Teste + Plano"");O7&lt;&gt;"""")"</formula>
    </cfRule>
  </conditionalFormatting>
  <conditionalFormatting sqref="P76">
    <cfRule type="expression" dxfId="45" priority="59">
      <formula>"E(OU($H7=""Perfectiva"";$H7=""Eliminar"";$H7=""Somente teste"";$H7=""Teste + Plano"");P7&lt;&gt;"""")"</formula>
    </cfRule>
  </conditionalFormatting>
  <conditionalFormatting sqref="Q76">
    <cfRule type="expression" dxfId="44" priority="58">
      <formula>"E(OU($H7=""Perfectiva"";$H7=""Eliminar"";$H7=""Somente teste"";$H7=""Teste + Plano"");Q7&lt;&gt;"""")"</formula>
    </cfRule>
  </conditionalFormatting>
  <conditionalFormatting sqref="T76">
    <cfRule type="expression" dxfId="43" priority="57">
      <formula>ImpactoMaximo( INDIRECT( "T" &amp; ROW() ) )</formula>
    </cfRule>
  </conditionalFormatting>
  <conditionalFormatting sqref="A76">
    <cfRule type="duplicateValues" dxfId="42" priority="56"/>
  </conditionalFormatting>
  <conditionalFormatting sqref="B76">
    <cfRule type="duplicateValues" dxfId="41" priority="55"/>
  </conditionalFormatting>
  <conditionalFormatting sqref="I76">
    <cfRule type="expression" dxfId="40" priority="54">
      <formula>ValidaTecnologia(INDIRECT("G"&amp;ROW()),INDIRECT("V"&amp;ROW()),INDIRECT("F"&amp;ROW()),INDIRECT("U"&amp;ROW()))</formula>
    </cfRule>
  </conditionalFormatting>
  <conditionalFormatting sqref="W76">
    <cfRule type="expression" dxfId="39" priority="53">
      <formula>ValidaTecnologia(INDIRECT("G"&amp;ROW()),INDIRECT("V"&amp;ROW()),INDIRECT("F"&amp;ROW()),INDIRECT("U"&amp;ROW()))</formula>
    </cfRule>
  </conditionalFormatting>
  <conditionalFormatting sqref="J81">
    <cfRule type="expression" dxfId="37" priority="49">
      <formula>AND(OR($H81="Perfectiva",$H81="Somente teste",$H81="Teste + Plano",$H81="Eliminar"),J81&lt;&gt;"")</formula>
    </cfRule>
  </conditionalFormatting>
  <conditionalFormatting sqref="K81">
    <cfRule type="expression" dxfId="36" priority="48">
      <formula>AND(OR($H81="Perfectiva",$H81="Somente teste",$H81="Teste + Plano",$H81="Eliminar"),K81&lt;&gt;"")</formula>
    </cfRule>
  </conditionalFormatting>
  <conditionalFormatting sqref="L81">
    <cfRule type="expression" dxfId="35" priority="47">
      <formula>AND(OR($H81="Perfectiva",$H81="Somente teste",$H81="Teste + Plano",$H81="Eliminar"),L81&lt;&gt;"")</formula>
    </cfRule>
  </conditionalFormatting>
  <conditionalFormatting sqref="O81">
    <cfRule type="expression" dxfId="34" priority="46">
      <formula>"E(OU($H7=""Perfectiva"";$H7=""Eliminar"";$H7=""Somente teste"";$H7=""Teste + Plano"");O7&lt;&gt;"""")"</formula>
    </cfRule>
  </conditionalFormatting>
  <conditionalFormatting sqref="P81">
    <cfRule type="expression" dxfId="33" priority="45">
      <formula>"E(OU($H7=""Perfectiva"";$H7=""Eliminar"";$H7=""Somente teste"";$H7=""Teste + Plano"");P7&lt;&gt;"""")"</formula>
    </cfRule>
  </conditionalFormatting>
  <conditionalFormatting sqref="Q81">
    <cfRule type="expression" dxfId="32" priority="44">
      <formula>"E(OU($H7=""Perfectiva"";$H7=""Eliminar"";$H7=""Somente teste"";$H7=""Teste + Plano"");Q7&lt;&gt;"""")"</formula>
    </cfRule>
  </conditionalFormatting>
  <conditionalFormatting sqref="T81">
    <cfRule type="expression" dxfId="31" priority="43">
      <formula>ImpactoMaximo( INDIRECT( "T" &amp; ROW() ) )</formula>
    </cfRule>
  </conditionalFormatting>
  <conditionalFormatting sqref="A81">
    <cfRule type="duplicateValues" dxfId="30" priority="42"/>
  </conditionalFormatting>
  <conditionalFormatting sqref="B81">
    <cfRule type="duplicateValues" dxfId="29" priority="41"/>
  </conditionalFormatting>
  <conditionalFormatting sqref="I81">
    <cfRule type="expression" dxfId="28" priority="40">
      <formula>ValidaTecnologia(INDIRECT("G"&amp;ROW()),INDIRECT("V"&amp;ROW()),INDIRECT("F"&amp;ROW()),INDIRECT("U"&amp;ROW()))</formula>
    </cfRule>
  </conditionalFormatting>
  <conditionalFormatting sqref="J9">
    <cfRule type="expression" dxfId="25" priority="26">
      <formula>AND(OR($H9="Perfectiva",$H9="Somente teste",$H9="Teste + Plano",$H9="Eliminar"),J9&lt;&gt;"")</formula>
    </cfRule>
  </conditionalFormatting>
  <conditionalFormatting sqref="K9">
    <cfRule type="expression" dxfId="24" priority="25">
      <formula>AND(OR($H9="Perfectiva",$H9="Somente teste",$H9="Teste + Plano",$H9="Eliminar"),K9&lt;&gt;"")</formula>
    </cfRule>
  </conditionalFormatting>
  <conditionalFormatting sqref="L9">
    <cfRule type="expression" dxfId="23" priority="24">
      <formula>AND(OR($H9="Perfectiva",$H9="Somente teste",$H9="Teste + Plano",$H9="Eliminar"),L9&lt;&gt;"")</formula>
    </cfRule>
  </conditionalFormatting>
  <conditionalFormatting sqref="O9">
    <cfRule type="expression" dxfId="22" priority="23">
      <formula>"E(OU($H7=""Perfectiva"";$H7=""Eliminar"";$H7=""Somente teste"";$H7=""Teste + Plano"");O7&lt;&gt;"""")"</formula>
    </cfRule>
  </conditionalFormatting>
  <conditionalFormatting sqref="P9">
    <cfRule type="expression" dxfId="21" priority="22">
      <formula>"E(OU($H7=""Perfectiva"";$H7=""Eliminar"";$H7=""Somente teste"";$H7=""Teste + Plano"");P7&lt;&gt;"""")"</formula>
    </cfRule>
  </conditionalFormatting>
  <conditionalFormatting sqref="Q9">
    <cfRule type="expression" dxfId="20" priority="21">
      <formula>"E(OU($H7=""Perfectiva"";$H7=""Eliminar"";$H7=""Somente teste"";$H7=""Teste + Plano"");Q7&lt;&gt;"""")"</formula>
    </cfRule>
  </conditionalFormatting>
  <conditionalFormatting sqref="T9">
    <cfRule type="expression" dxfId="19" priority="20">
      <formula>ImpactoMaximo( INDIRECT( "T" &amp; ROW() ) )</formula>
    </cfRule>
  </conditionalFormatting>
  <conditionalFormatting sqref="A9">
    <cfRule type="duplicateValues" dxfId="18" priority="19"/>
  </conditionalFormatting>
  <conditionalFormatting sqref="J73">
    <cfRule type="expression" dxfId="14" priority="15">
      <formula>AND(OR($H73="Perfectiva",$H73="Somente teste",$H73="Teste + Plano",$H73="Eliminar"),J73&lt;&gt;"")</formula>
    </cfRule>
  </conditionalFormatting>
  <conditionalFormatting sqref="K73">
    <cfRule type="expression" dxfId="13" priority="14">
      <formula>AND(OR($H73="Perfectiva",$H73="Somente teste",$H73="Teste + Plano",$H73="Eliminar"),K73&lt;&gt;"")</formula>
    </cfRule>
  </conditionalFormatting>
  <conditionalFormatting sqref="L73">
    <cfRule type="expression" dxfId="12" priority="13">
      <formula>AND(OR($H73="Perfectiva",$H73="Somente teste",$H73="Teste + Plano",$H73="Eliminar"),L73&lt;&gt;"")</formula>
    </cfRule>
  </conditionalFormatting>
  <conditionalFormatting sqref="O73">
    <cfRule type="expression" dxfId="11" priority="12">
      <formula>"E(OU($H7=""Perfectiva"";$H7=""Eliminar"";$H7=""Somente teste"";$H7=""Teste + Plano"");O7&lt;&gt;"""")"</formula>
    </cfRule>
  </conditionalFormatting>
  <conditionalFormatting sqref="P73">
    <cfRule type="expression" dxfId="10" priority="11">
      <formula>"E(OU($H7=""Perfectiva"";$H7=""Eliminar"";$H7=""Somente teste"";$H7=""Teste + Plano"");P7&lt;&gt;"""")"</formula>
    </cfRule>
  </conditionalFormatting>
  <conditionalFormatting sqref="Q73">
    <cfRule type="expression" dxfId="9" priority="10">
      <formula>"E(OU($H7=""Perfectiva"";$H7=""Eliminar"";$H7=""Somente teste"";$H7=""Teste + Plano"");Q7&lt;&gt;"""")"</formula>
    </cfRule>
  </conditionalFormatting>
  <conditionalFormatting sqref="T73">
    <cfRule type="expression" dxfId="8" priority="9">
      <formula>ImpactoMaximo( INDIRECT( "T" &amp; ROW() ) )</formula>
    </cfRule>
  </conditionalFormatting>
  <conditionalFormatting sqref="A73">
    <cfRule type="duplicateValues" dxfId="7" priority="8"/>
  </conditionalFormatting>
  <conditionalFormatting sqref="B73">
    <cfRule type="duplicateValues" dxfId="6" priority="7"/>
  </conditionalFormatting>
  <conditionalFormatting sqref="I73">
    <cfRule type="expression" dxfId="5" priority="6">
      <formula>ValidaTecnologia(INDIRECT("G"&amp;ROW()),INDIRECT("V"&amp;ROW()),INDIRECT("F"&amp;ROW()),INDIRECT("U"&amp;ROW()))</formula>
    </cfRule>
  </conditionalFormatting>
  <conditionalFormatting sqref="B9">
    <cfRule type="duplicateValues" dxfId="4" priority="5"/>
  </conditionalFormatting>
  <conditionalFormatting sqref="I9">
    <cfRule type="expression" dxfId="3" priority="4">
      <formula>ValidaTecnologia(INDIRECT("G"&amp;ROW()),INDIRECT("V"&amp;ROW()),INDIRECT("F"&amp;ROW()),INDIRECT("U"&amp;ROW()))</formula>
    </cfRule>
  </conditionalFormatting>
  <conditionalFormatting sqref="W9">
    <cfRule type="expression" dxfId="2" priority="3">
      <formula>ValidaTecnologia(INDIRECT("G"&amp;ROW()),INDIRECT("V"&amp;ROW()),INDIRECT("F"&amp;ROW()),INDIRECT("U"&amp;ROW()))</formula>
    </cfRule>
  </conditionalFormatting>
  <conditionalFormatting sqref="W81">
    <cfRule type="expression" dxfId="1" priority="2">
      <formula>ValidaTecnologia(INDIRECT("G"&amp;ROW()),INDIRECT("V"&amp;ROW()),INDIRECT("F"&amp;ROW()),INDIRECT("U"&amp;ROW()))</formula>
    </cfRule>
  </conditionalFormatting>
  <conditionalFormatting sqref="W73">
    <cfRule type="expression" dxfId="0" priority="1">
      <formula>ValidaTecnologia(INDIRECT("G"&amp;ROW()),INDIRECT("V"&amp;ROW()),INDIRECT("F"&amp;ROW()),INDIRECT("U"&amp;ROW()))</formula>
    </cfRule>
  </conditionalFormatting>
  <dataValidations count="9">
    <dataValidation operator="greaterThanOrEqual" allowBlank="1" showInputMessage="1" showErrorMessage="1" sqref="M84 R84 R6:R82 M6:M82"/>
    <dataValidation type="whole" operator="greaterThanOrEqual" allowBlank="1" showInputMessage="1" showErrorMessage="1" sqref="O84:Q84 J84:L84 D84 O6:Q82 D6:D82 J6:L82">
      <formula1>0</formula1>
    </dataValidation>
    <dataValidation type="whole" operator="greaterThanOrEqual" allowBlank="1" showInputMessage="1" showErrorMessage="1" sqref="E84 E6:E82">
      <formula1>1</formula1>
    </dataValidation>
    <dataValidation allowBlank="1" showDropDown="1" showInputMessage="1" showErrorMessage="1" sqref="T84 T6:T82"/>
    <dataValidation showInputMessage="1" showErrorMessage="1" sqref="F84 Q87 U84 U6:U82 F6:F82"/>
    <dataValidation type="list" showInputMessage="1" showErrorMessage="1" sqref="W84 W6:W82">
      <formula1>CHOOSE(IF(V6="-",1,IF(OR(C6="ALI",C6="AIE",I6="ALI",I6="AIE"),2,3)),Vazio,Dados,Transação)</formula1>
    </dataValidation>
    <dataValidation type="list" allowBlank="1" showInputMessage="1" showErrorMessage="1" sqref="H84 H6:H82">
      <formula1>CHOOSE(IF(OR(C6="ALI",C6="AIE"),1,2),StatusFuncional,StatusTodos)</formula1>
    </dataValidation>
    <dataValidation type="list" showInputMessage="1" showErrorMessage="1" sqref="I84 I6:I82">
      <formula1>CHOOSE(IF(OR(H6="",H6="Perfectiva",H6="Somente teste",H6="Teste + Plano"),1,2),Vazio,FuncoesTodas)</formula1>
    </dataValidation>
    <dataValidation type="list" showInputMessage="1" showErrorMessage="1" sqref="C84 C6:C82">
      <formula1>CHOOSE(IF(OR(H6="Perfectiva",H6="Somente teste",H6="Teste + Plano"),2,3),Vazio,FuncoesTransacao,FuncoesTodas)</formula1>
    </dataValidation>
  </dataValidations>
  <printOptions horizontalCentered="1"/>
  <pageMargins left="0.11811023622047245" right="0.11811023622047245" top="0.39370078740157483" bottom="0.39370078740157483" header="0.23622047244094491" footer="0.15748031496062992"/>
  <pageSetup paperSize="9" scale="44" fitToHeight="5" orientation="landscape" r:id="rId1"/>
  <headerFooter alignWithMargins="0">
    <oddFooter>&amp;L&amp;12Em &amp;D às &amp;T&amp;C&amp;12&amp;A&amp;R&amp;12&amp;P de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27"/>
  <sheetViews>
    <sheetView zoomScaleNormal="100" workbookViewId="0">
      <selection activeCell="Z29" sqref="Z29"/>
    </sheetView>
  </sheetViews>
  <sheetFormatPr defaultColWidth="9.140625" defaultRowHeight="15" x14ac:dyDescent="0.25"/>
  <cols>
    <col min="1" max="1" width="1.7109375" style="17" customWidth="1"/>
    <col min="2" max="2" width="1.7109375" style="22" customWidth="1"/>
    <col min="3" max="23" width="6.7109375" style="22" customWidth="1"/>
    <col min="24" max="24" width="1.7109375" style="17" customWidth="1"/>
    <col min="25" max="32" width="9.140625" style="17"/>
    <col min="33" max="16384" width="9.140625" style="22"/>
  </cols>
  <sheetData>
    <row r="1" spans="1:32" s="17" customFormat="1" ht="6.95" customHeight="1" x14ac:dyDescent="0.25"/>
    <row r="2" spans="1:32" x14ac:dyDescent="0.25">
      <c r="B2" s="18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20"/>
      <c r="V2" s="20"/>
      <c r="W2" s="20"/>
      <c r="X2" s="21"/>
    </row>
    <row r="3" spans="1:32" ht="60" customHeight="1" x14ac:dyDescent="0.25">
      <c r="B3" s="23"/>
      <c r="C3" s="88"/>
      <c r="D3" s="88"/>
      <c r="E3" s="88"/>
      <c r="F3" s="88"/>
      <c r="G3" s="88"/>
      <c r="H3" s="88"/>
      <c r="I3" s="88"/>
      <c r="J3" s="88"/>
      <c r="K3" s="24"/>
      <c r="L3" s="24"/>
      <c r="M3" s="24"/>
      <c r="N3" s="24"/>
      <c r="O3" s="24"/>
      <c r="P3" s="24"/>
      <c r="Q3" s="89" t="s">
        <v>52</v>
      </c>
      <c r="R3" s="89"/>
      <c r="S3" s="89"/>
      <c r="T3" s="89"/>
      <c r="U3" s="89"/>
      <c r="V3" s="89"/>
      <c r="W3" s="89"/>
      <c r="X3" s="25"/>
    </row>
    <row r="4" spans="1:32" ht="26.25" customHeight="1" x14ac:dyDescent="0.25">
      <c r="B4" s="23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26"/>
      <c r="R4" s="26"/>
      <c r="S4" s="26"/>
      <c r="T4" s="26"/>
      <c r="U4" s="26"/>
      <c r="V4" s="26"/>
      <c r="W4" s="26"/>
      <c r="X4" s="25"/>
    </row>
    <row r="5" spans="1:32" s="30" customFormat="1" ht="24.95" customHeight="1" x14ac:dyDescent="0.25">
      <c r="A5" s="27"/>
      <c r="B5" s="28"/>
      <c r="C5" s="88" t="s">
        <v>53</v>
      </c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29"/>
      <c r="Y5" s="27"/>
      <c r="Z5" s="27"/>
      <c r="AA5" s="27"/>
      <c r="AB5" s="27"/>
      <c r="AC5" s="27"/>
      <c r="AD5" s="27"/>
      <c r="AE5" s="27"/>
      <c r="AF5" s="27"/>
    </row>
    <row r="6" spans="1:32" ht="18.75" x14ac:dyDescent="0.25">
      <c r="B6" s="23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25"/>
    </row>
    <row r="7" spans="1:32" ht="26.25" x14ac:dyDescent="0.25">
      <c r="B7" s="23"/>
      <c r="C7" s="91" t="s">
        <v>54</v>
      </c>
      <c r="D7" s="91"/>
      <c r="E7" s="91"/>
      <c r="F7" s="91"/>
      <c r="G7" s="91"/>
      <c r="H7" s="91"/>
      <c r="I7" s="31"/>
      <c r="J7" s="91" t="s">
        <v>55</v>
      </c>
      <c r="K7" s="91"/>
      <c r="L7" s="91"/>
      <c r="M7" s="91"/>
      <c r="N7" s="91"/>
      <c r="O7" s="91"/>
      <c r="P7" s="91"/>
      <c r="Q7" s="26"/>
      <c r="R7" s="91" t="s">
        <v>56</v>
      </c>
      <c r="S7" s="91"/>
      <c r="T7" s="91"/>
      <c r="U7" s="91"/>
      <c r="V7" s="91"/>
      <c r="W7" s="91"/>
      <c r="X7" s="25"/>
    </row>
    <row r="8" spans="1:32" ht="99.95" customHeight="1" x14ac:dyDescent="0.25">
      <c r="B8" s="23"/>
      <c r="C8" s="87" t="s">
        <v>57</v>
      </c>
      <c r="D8" s="87"/>
      <c r="E8" s="87"/>
      <c r="F8" s="87"/>
      <c r="G8" s="87"/>
      <c r="H8" s="87"/>
      <c r="I8" s="32"/>
      <c r="J8" s="87" t="s">
        <v>58</v>
      </c>
      <c r="K8" s="87"/>
      <c r="L8" s="87"/>
      <c r="M8" s="87"/>
      <c r="N8" s="87"/>
      <c r="O8" s="87"/>
      <c r="P8" s="87"/>
      <c r="Q8" s="26"/>
      <c r="R8" s="87" t="s">
        <v>59</v>
      </c>
      <c r="S8" s="87"/>
      <c r="T8" s="87"/>
      <c r="U8" s="87"/>
      <c r="V8" s="87"/>
      <c r="W8" s="87"/>
      <c r="X8" s="25"/>
    </row>
    <row r="9" spans="1:32" ht="26.25" x14ac:dyDescent="0.25">
      <c r="B9" s="33"/>
      <c r="C9" s="34"/>
      <c r="D9" s="34"/>
      <c r="E9" s="34"/>
      <c r="F9" s="34"/>
      <c r="G9" s="34"/>
      <c r="H9" s="34"/>
      <c r="I9" s="34"/>
      <c r="J9" s="34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6"/>
    </row>
    <row r="10" spans="1:32" ht="26.25" x14ac:dyDescent="0.25">
      <c r="B10" s="37"/>
      <c r="C10" s="31"/>
      <c r="D10" s="31"/>
      <c r="E10" s="31"/>
      <c r="F10" s="31"/>
      <c r="G10" s="31"/>
      <c r="H10" s="31"/>
      <c r="I10" s="31"/>
      <c r="J10" s="31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37"/>
    </row>
    <row r="11" spans="1:32" ht="26.25" x14ac:dyDescent="0.25">
      <c r="B11" s="37"/>
      <c r="C11" s="31"/>
      <c r="D11" s="31"/>
      <c r="E11" s="31"/>
      <c r="F11" s="31"/>
      <c r="G11" s="31"/>
      <c r="H11" s="31"/>
      <c r="I11" s="31"/>
      <c r="J11" s="31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37"/>
    </row>
    <row r="12" spans="1:32" x14ac:dyDescent="0.25">
      <c r="B12" s="37"/>
      <c r="C12" s="37"/>
      <c r="D12" s="37"/>
      <c r="E12" s="37"/>
      <c r="F12" s="37"/>
      <c r="G12" s="37"/>
      <c r="H12" s="37"/>
      <c r="I12" s="37"/>
      <c r="J12" s="38"/>
      <c r="K12" s="38"/>
      <c r="L12" s="37"/>
      <c r="M12" s="37"/>
      <c r="N12" s="38"/>
      <c r="O12" s="37"/>
      <c r="P12" s="37"/>
      <c r="Q12" s="37"/>
      <c r="R12" s="37"/>
      <c r="S12" s="37"/>
      <c r="T12" s="37"/>
      <c r="U12" s="37"/>
      <c r="V12" s="37"/>
      <c r="W12" s="37"/>
      <c r="X12" s="37"/>
    </row>
    <row r="13" spans="1:32" x14ac:dyDescent="0.25">
      <c r="B13" s="37"/>
      <c r="C13" s="37"/>
      <c r="D13" s="37"/>
      <c r="E13" s="37"/>
      <c r="F13" s="37"/>
      <c r="G13" s="37"/>
      <c r="H13" s="37"/>
      <c r="I13" s="37"/>
      <c r="J13" s="38"/>
      <c r="K13" s="38"/>
      <c r="L13" s="37"/>
      <c r="M13" s="37"/>
      <c r="N13" s="38"/>
      <c r="O13" s="37"/>
      <c r="P13" s="37"/>
      <c r="Q13" s="37"/>
      <c r="R13" s="37"/>
      <c r="S13" s="37"/>
      <c r="T13" s="37"/>
      <c r="U13" s="37"/>
      <c r="V13" s="37"/>
      <c r="W13" s="37"/>
      <c r="X13" s="37"/>
    </row>
    <row r="14" spans="1:32" x14ac:dyDescent="0.25"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1:32" x14ac:dyDescent="0.25"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1:32" x14ac:dyDescent="0.25"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2:23" x14ac:dyDescent="0.25"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2:23" x14ac:dyDescent="0.25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2:23" x14ac:dyDescent="0.25"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2:23" x14ac:dyDescent="0.25"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2:23" x14ac:dyDescent="0.25"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2:23" x14ac:dyDescent="0.25"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2:23" x14ac:dyDescent="0.25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2:23" x14ac:dyDescent="0.25"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2:23" x14ac:dyDescent="0.25"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2:23" x14ac:dyDescent="0.2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2:23" x14ac:dyDescent="0.2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</sheetData>
  <sheetProtection selectLockedCells="1"/>
  <mergeCells count="10">
    <mergeCell ref="C8:H8"/>
    <mergeCell ref="J8:P8"/>
    <mergeCell ref="R8:W8"/>
    <mergeCell ref="C3:J3"/>
    <mergeCell ref="Q3:W3"/>
    <mergeCell ref="C4:P4"/>
    <mergeCell ref="C5:W5"/>
    <mergeCell ref="C7:H7"/>
    <mergeCell ref="J7:P7"/>
    <mergeCell ref="R7:W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55"/>
  <sheetViews>
    <sheetView workbookViewId="0">
      <selection activeCell="F13" sqref="F13"/>
    </sheetView>
  </sheetViews>
  <sheetFormatPr defaultRowHeight="12.75" x14ac:dyDescent="0.2"/>
  <cols>
    <col min="1" max="1" width="4" customWidth="1"/>
    <col min="2" max="2" width="18.7109375" style="5" customWidth="1"/>
    <col min="4" max="4" width="16.140625" customWidth="1"/>
    <col min="6" max="6" width="15.7109375" customWidth="1"/>
  </cols>
  <sheetData>
    <row r="1" spans="1:6" x14ac:dyDescent="0.2">
      <c r="A1" s="92" t="s">
        <v>41</v>
      </c>
      <c r="B1" s="92"/>
      <c r="D1" s="49" t="s">
        <v>75</v>
      </c>
      <c r="F1" s="49" t="s">
        <v>81</v>
      </c>
    </row>
    <row r="2" spans="1:6" ht="12.75" customHeight="1" x14ac:dyDescent="0.2">
      <c r="A2" s="93" t="s">
        <v>42</v>
      </c>
      <c r="B2" s="6" t="s">
        <v>20</v>
      </c>
      <c r="D2" s="50" t="s">
        <v>70</v>
      </c>
      <c r="F2" s="49" t="s">
        <v>70</v>
      </c>
    </row>
    <row r="3" spans="1:6" x14ac:dyDescent="0.2">
      <c r="A3" s="94"/>
      <c r="B3" s="7" t="s">
        <v>31</v>
      </c>
      <c r="D3" s="7" t="s">
        <v>67</v>
      </c>
      <c r="F3" s="50" t="s">
        <v>77</v>
      </c>
    </row>
    <row r="4" spans="1:6" x14ac:dyDescent="0.2">
      <c r="A4" s="94"/>
      <c r="B4" s="7" t="s">
        <v>21</v>
      </c>
      <c r="D4" s="7" t="s">
        <v>68</v>
      </c>
      <c r="F4" s="7" t="s">
        <v>78</v>
      </c>
    </row>
    <row r="5" spans="1:6" ht="13.9" customHeight="1" x14ac:dyDescent="0.2">
      <c r="A5" s="94"/>
      <c r="B5" s="7" t="s">
        <v>22</v>
      </c>
      <c r="D5" s="7" t="s">
        <v>73</v>
      </c>
      <c r="F5" s="7" t="s">
        <v>76</v>
      </c>
    </row>
    <row r="6" spans="1:6" x14ac:dyDescent="0.2">
      <c r="A6" s="94"/>
      <c r="B6" s="7" t="s">
        <v>23</v>
      </c>
      <c r="D6" s="49" t="s">
        <v>74</v>
      </c>
      <c r="F6" s="7" t="s">
        <v>84</v>
      </c>
    </row>
    <row r="7" spans="1:6" x14ac:dyDescent="0.2">
      <c r="A7" s="94"/>
      <c r="B7" s="7" t="s">
        <v>39</v>
      </c>
      <c r="D7" s="50" t="s">
        <v>70</v>
      </c>
      <c r="F7" s="49" t="s">
        <v>82</v>
      </c>
    </row>
    <row r="8" spans="1:6" x14ac:dyDescent="0.2">
      <c r="A8" s="94"/>
      <c r="B8" s="7" t="s">
        <v>25</v>
      </c>
      <c r="D8" s="7" t="s">
        <v>71</v>
      </c>
      <c r="F8" s="49" t="s">
        <v>70</v>
      </c>
    </row>
    <row r="9" spans="1:6" x14ac:dyDescent="0.2">
      <c r="A9" s="94"/>
      <c r="B9" s="7" t="s">
        <v>60</v>
      </c>
      <c r="D9" s="7" t="s">
        <v>72</v>
      </c>
      <c r="F9" s="7" t="s">
        <v>77</v>
      </c>
    </row>
    <row r="10" spans="1:6" x14ac:dyDescent="0.2">
      <c r="A10" s="94"/>
      <c r="B10" s="7" t="s">
        <v>43</v>
      </c>
      <c r="D10" s="7" t="s">
        <v>67</v>
      </c>
      <c r="F10" s="7" t="s">
        <v>78</v>
      </c>
    </row>
    <row r="11" spans="1:6" x14ac:dyDescent="0.2">
      <c r="A11" s="95"/>
      <c r="B11" s="7" t="s">
        <v>24</v>
      </c>
      <c r="D11" s="7" t="s">
        <v>68</v>
      </c>
      <c r="F11" s="7" t="s">
        <v>76</v>
      </c>
    </row>
    <row r="12" spans="1:6" ht="12.75" customHeight="1" x14ac:dyDescent="0.2">
      <c r="A12" s="96" t="s">
        <v>45</v>
      </c>
      <c r="B12" s="7" t="s">
        <v>26</v>
      </c>
      <c r="D12" s="7" t="s">
        <v>73</v>
      </c>
      <c r="F12" s="7" t="s">
        <v>84</v>
      </c>
    </row>
    <row r="13" spans="1:6" x14ac:dyDescent="0.2">
      <c r="A13" s="97"/>
      <c r="B13" s="7" t="s">
        <v>27</v>
      </c>
      <c r="F13" s="7" t="s">
        <v>79</v>
      </c>
    </row>
    <row r="14" spans="1:6" x14ac:dyDescent="0.2">
      <c r="A14" s="97"/>
      <c r="B14" s="7" t="s">
        <v>28</v>
      </c>
      <c r="F14" s="7" t="s">
        <v>80</v>
      </c>
    </row>
    <row r="15" spans="1:6" x14ac:dyDescent="0.2">
      <c r="A15" s="97"/>
      <c r="B15" s="7" t="s">
        <v>29</v>
      </c>
      <c r="F15" s="7" t="s">
        <v>65</v>
      </c>
    </row>
    <row r="16" spans="1:6" x14ac:dyDescent="0.2">
      <c r="A16" s="97"/>
      <c r="B16" s="7" t="s">
        <v>30</v>
      </c>
    </row>
    <row r="17" spans="1:2" x14ac:dyDescent="0.2">
      <c r="A17" s="97"/>
      <c r="B17" s="7" t="s">
        <v>31</v>
      </c>
    </row>
    <row r="18" spans="1:2" x14ac:dyDescent="0.2">
      <c r="A18" s="97"/>
      <c r="B18" s="7" t="s">
        <v>32</v>
      </c>
    </row>
    <row r="19" spans="1:2" x14ac:dyDescent="0.2">
      <c r="A19" s="97"/>
      <c r="B19" s="7" t="s">
        <v>33</v>
      </c>
    </row>
    <row r="20" spans="1:2" x14ac:dyDescent="0.2">
      <c r="A20" s="97"/>
      <c r="B20" s="7" t="s">
        <v>34</v>
      </c>
    </row>
    <row r="21" spans="1:2" x14ac:dyDescent="0.2">
      <c r="A21" s="97"/>
      <c r="B21" s="7" t="s">
        <v>35</v>
      </c>
    </row>
    <row r="22" spans="1:2" x14ac:dyDescent="0.2">
      <c r="A22" s="97"/>
      <c r="B22" s="7" t="s">
        <v>36</v>
      </c>
    </row>
    <row r="23" spans="1:2" x14ac:dyDescent="0.2">
      <c r="A23" s="97"/>
      <c r="B23" s="7" t="s">
        <v>37</v>
      </c>
    </row>
    <row r="24" spans="1:2" x14ac:dyDescent="0.2">
      <c r="A24" s="97"/>
      <c r="B24" s="7" t="s">
        <v>38</v>
      </c>
    </row>
    <row r="25" spans="1:2" x14ac:dyDescent="0.2">
      <c r="A25" s="97"/>
      <c r="B25" s="7" t="s">
        <v>39</v>
      </c>
    </row>
    <row r="26" spans="1:2" x14ac:dyDescent="0.2">
      <c r="A26" s="97"/>
      <c r="B26" s="7" t="s">
        <v>25</v>
      </c>
    </row>
    <row r="27" spans="1:2" x14ac:dyDescent="0.2">
      <c r="A27" s="97"/>
      <c r="B27" s="7" t="s">
        <v>40</v>
      </c>
    </row>
    <row r="28" spans="1:2" x14ac:dyDescent="0.2">
      <c r="A28" s="97"/>
      <c r="B28" s="7" t="s">
        <v>44</v>
      </c>
    </row>
    <row r="29" spans="1:2" x14ac:dyDescent="0.2">
      <c r="A29" s="97"/>
      <c r="B29" s="7" t="s">
        <v>62</v>
      </c>
    </row>
    <row r="30" spans="1:2" x14ac:dyDescent="0.2">
      <c r="A30" s="97"/>
      <c r="B30" s="7" t="s">
        <v>63</v>
      </c>
    </row>
    <row r="31" spans="1:2" x14ac:dyDescent="0.2">
      <c r="A31" s="97"/>
      <c r="B31" s="7" t="s">
        <v>64</v>
      </c>
    </row>
    <row r="32" spans="1:2" x14ac:dyDescent="0.2">
      <c r="A32" s="97"/>
      <c r="B32" s="7" t="s">
        <v>60</v>
      </c>
    </row>
    <row r="33" spans="1:2" x14ac:dyDescent="0.2">
      <c r="A33" s="97"/>
      <c r="B33" s="7" t="s">
        <v>65</v>
      </c>
    </row>
    <row r="34" spans="1:2" x14ac:dyDescent="0.2">
      <c r="B34"/>
    </row>
    <row r="35" spans="1:2" x14ac:dyDescent="0.2">
      <c r="B35"/>
    </row>
    <row r="36" spans="1:2" x14ac:dyDescent="0.2">
      <c r="B36"/>
    </row>
    <row r="37" spans="1:2" x14ac:dyDescent="0.2">
      <c r="B37"/>
    </row>
    <row r="38" spans="1:2" x14ac:dyDescent="0.2">
      <c r="B38"/>
    </row>
    <row r="39" spans="1:2" x14ac:dyDescent="0.2">
      <c r="B39"/>
    </row>
    <row r="40" spans="1:2" x14ac:dyDescent="0.2">
      <c r="B40"/>
    </row>
    <row r="41" spans="1:2" x14ac:dyDescent="0.2">
      <c r="B41"/>
    </row>
    <row r="42" spans="1:2" x14ac:dyDescent="0.2">
      <c r="B42"/>
    </row>
    <row r="43" spans="1:2" x14ac:dyDescent="0.2">
      <c r="B43"/>
    </row>
    <row r="44" spans="1:2" x14ac:dyDescent="0.2">
      <c r="B44"/>
    </row>
    <row r="45" spans="1:2" x14ac:dyDescent="0.2">
      <c r="B45"/>
    </row>
    <row r="46" spans="1:2" x14ac:dyDescent="0.2">
      <c r="B46"/>
    </row>
    <row r="47" spans="1:2" x14ac:dyDescent="0.2">
      <c r="B47"/>
    </row>
    <row r="48" spans="1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</sheetData>
  <sheetProtection password="83DC" sheet="1" objects="1" scenarios="1"/>
  <sortState ref="B3:B11">
    <sortCondition ref="B2"/>
  </sortState>
  <mergeCells count="3">
    <mergeCell ref="A1:B1"/>
    <mergeCell ref="A2:A11"/>
    <mergeCell ref="A12:A33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6A3CAE4BB0E34F82C5CDA1C0EC6EE7" ma:contentTypeVersion="0" ma:contentTypeDescription="Create a new document." ma:contentTypeScope="" ma:versionID="e040ff1edab9c7a72ac477e08804520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68F1A0C-674B-41EB-BB42-C00D64788D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94F756-C527-4FEE-9BB1-F499C97586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0EF9501-87CB-40B2-8626-98DE369FEB93}">
  <ds:schemaRefs>
    <ds:schemaRef ds:uri="http://purl.org/dc/elements/1.1/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11</vt:i4>
      </vt:variant>
    </vt:vector>
  </HeadingPairs>
  <TitlesOfParts>
    <vt:vector size="12" baseType="lpstr">
      <vt:lpstr>PCPF</vt:lpstr>
      <vt:lpstr>PCPF!Area_de_impressao</vt:lpstr>
      <vt:lpstr>Dados</vt:lpstr>
      <vt:lpstr>FimÁreaContagem</vt:lpstr>
      <vt:lpstr>Fórmulas</vt:lpstr>
      <vt:lpstr>FuncoesTodas</vt:lpstr>
      <vt:lpstr>FuncoesTransacao</vt:lpstr>
      <vt:lpstr>StatusFuncional</vt:lpstr>
      <vt:lpstr>StatusTodos</vt:lpstr>
      <vt:lpstr>PCPF!Titulos_de_impressao</vt:lpstr>
      <vt:lpstr>Transação</vt:lpstr>
      <vt:lpstr>Vazio</vt:lpstr>
    </vt:vector>
  </TitlesOfParts>
  <Company>Bradesco Seguros S/A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Ebix12</dc:creator>
  <cp:lastModifiedBy>Michael Carneiro Oliveira</cp:lastModifiedBy>
  <cp:lastPrinted>2010-11-26T17:45:11Z</cp:lastPrinted>
  <dcterms:created xsi:type="dcterms:W3CDTF">2006-11-16T17:06:58Z</dcterms:created>
  <dcterms:modified xsi:type="dcterms:W3CDTF">2018-03-02T13:09:49Z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0x010100436A3CAE4BB0E34F82C5CDA1C0EC6EE7</vt:lpwstr>
  </property>
</Properties>
</file>